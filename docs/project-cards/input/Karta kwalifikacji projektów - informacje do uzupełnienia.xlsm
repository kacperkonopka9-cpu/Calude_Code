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\\10.0.2.11\datos\PL\3. CONSULTING\0_ULGA_PROCES_REALIZACJI_I_SZABLONY_2022\PROJEKTY_KKO_2025\Texom\5. Wdrożenie\"/>
    </mc:Choice>
  </mc:AlternateContent>
  <xr:revisionPtr revIDLastSave="0" documentId="13_ncr:1_{7AD004A1-772E-4C19-81ED-0D1E7D67503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Lista projektów" sheetId="11" r:id="rId1"/>
    <sheet name="Arkusz3" sheetId="14" r:id="rId2"/>
    <sheet name="Arkusz2" sheetId="13" r:id="rId3"/>
    <sheet name="Arkusz1" sheetId="12" state="hidden" r:id="rId4"/>
  </sheets>
  <definedNames>
    <definedName name="_xlnm._FilterDatabase" localSheetId="0" hidden="1">'Lista projektów'!$A$9:$B$21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3" l="1"/>
  <c r="M5" i="13"/>
  <c r="M3" i="13"/>
  <c r="I5" i="13" l="1"/>
  <c r="J5" i="13" s="1"/>
  <c r="G13" i="13"/>
  <c r="G5" i="13"/>
  <c r="G31" i="13"/>
  <c r="G29" i="13"/>
  <c r="G27" i="13"/>
  <c r="G25" i="13"/>
  <c r="G23" i="13"/>
  <c r="G21" i="13"/>
  <c r="G20" i="13"/>
  <c r="G18" i="13"/>
  <c r="G17" i="13"/>
  <c r="G15" i="13"/>
  <c r="Q6" i="13"/>
  <c r="R6" i="13"/>
  <c r="S6" i="13"/>
  <c r="T6" i="13"/>
  <c r="P6" i="13"/>
  <c r="E3" i="13"/>
  <c r="I4" i="13"/>
  <c r="J4" i="13" s="1"/>
  <c r="I3" i="13"/>
  <c r="J3" i="13" s="1"/>
  <c r="E4" i="13"/>
  <c r="E5" i="13"/>
  <c r="E6" i="13"/>
  <c r="E7" i="13"/>
  <c r="E8" i="13"/>
  <c r="E9" i="13"/>
  <c r="E10" i="13"/>
  <c r="E11" i="13"/>
  <c r="E12" i="13"/>
  <c r="E13" i="13"/>
  <c r="E14" i="13"/>
  <c r="E16" i="13"/>
  <c r="E17" i="13"/>
  <c r="E19" i="13"/>
  <c r="E20" i="13"/>
  <c r="E22" i="13"/>
  <c r="E24" i="13"/>
  <c r="E26" i="13"/>
  <c r="E28" i="13"/>
  <c r="E30" i="13"/>
  <c r="M6" i="13" l="1"/>
  <c r="Q13" i="13"/>
  <c r="J12" i="13"/>
  <c r="N12" i="13"/>
  <c r="I6" i="13"/>
  <c r="M12" i="13" l="1"/>
  <c r="N13" i="13" s="1"/>
  <c r="M7" i="13" s="1"/>
  <c r="M8" i="13" s="1"/>
  <c r="J14" i="13"/>
  <c r="J13" i="13"/>
</calcChain>
</file>

<file path=xl/sharedStrings.xml><?xml version="1.0" encoding="utf-8"?>
<sst xmlns="http://schemas.openxmlformats.org/spreadsheetml/2006/main" count="196" uniqueCount="92">
  <si>
    <t>Poniższa tabela ma na celu zebranie podstawowych informacji o realizowanych przez Spółkę projektach, które to projekty będą podlegać dalszej analizie kwalifikacji do ulgi B+R</t>
  </si>
  <si>
    <t>Nazwa projektu</t>
  </si>
  <si>
    <t xml:space="preserve">Opis </t>
  </si>
  <si>
    <t>Data rozpoczęcia projektu</t>
  </si>
  <si>
    <t>Data zakończenia projektu</t>
  </si>
  <si>
    <t>Cel projektu
(jaki końcowy produkt był planowany do opracowania, jakie parametry powinien posiadać produkt, z jakich elementów składowych powinien się składać)</t>
  </si>
  <si>
    <t xml:space="preserve">Czy projekt wiązał się z pokonaniem wyzwania technologicznego? </t>
  </si>
  <si>
    <t>Czy w projekcie wystąpiły ryzyka technologiczne? Czy istniało ryzyko, że planowane do osiągnięcia parametry techniczne nie zostaną osiągnięte?</t>
  </si>
  <si>
    <t xml:space="preserve">Czy w wyniku realizacji projektu została uzyskana nowa wiedza mogąca zostać wykorzystana w kolejnych projektach? </t>
  </si>
  <si>
    <t>Osoba odpowiedzialna za projekt do której można kierować ewentualne pytania o szczegółach projektu</t>
  </si>
  <si>
    <t>Kolumna1</t>
  </si>
  <si>
    <t>tak</t>
  </si>
  <si>
    <t>nie</t>
  </si>
  <si>
    <r>
      <t>Szacunkowa wartość kosztów projektu - wynagrodzenia pracowników (</t>
    </r>
    <r>
      <rPr>
        <b/>
        <u/>
        <sz val="16"/>
        <color rgb="FF002060"/>
        <rFont val="Calibri"/>
        <family val="2"/>
        <charset val="238"/>
        <scheme val="minor"/>
      </rPr>
      <t>bez zakupu usług</t>
    </r>
    <r>
      <rPr>
        <b/>
        <sz val="16"/>
        <color rgb="FF002060"/>
        <rFont val="Calibri"/>
        <family val="2"/>
        <charset val="238"/>
        <scheme val="minor"/>
      </rPr>
      <t>)</t>
    </r>
  </si>
  <si>
    <r>
      <t>Szacunkowa wartość kosztów projektu - koszty materiałów (</t>
    </r>
    <r>
      <rPr>
        <b/>
        <u/>
        <sz val="16"/>
        <color rgb="FF002060"/>
        <rFont val="Calibri"/>
        <family val="2"/>
        <charset val="238"/>
        <scheme val="minor"/>
      </rPr>
      <t>bez zakupu usług</t>
    </r>
    <r>
      <rPr>
        <b/>
        <sz val="16"/>
        <color rgb="FF002060"/>
        <rFont val="Calibri"/>
        <family val="2"/>
        <charset val="238"/>
        <scheme val="minor"/>
      </rPr>
      <t>)</t>
    </r>
  </si>
  <si>
    <t>Wdrożenie programu do zarządzania projektami INTENSE</t>
  </si>
  <si>
    <t>Program INTENSE służy do zarządzania projektami budowlanymi, budżetowania i kontroli wykonania budżetu, kontroli obiegu dokumentów</t>
  </si>
  <si>
    <t>Celem projektu było usprawnienie obiegu dokumentów w spółce, zwiększenie kontroli kosztów, uzyskanie lepszej informacji na temat rentowności projektów. Program INTENSE składa się z wersji webowej, mobilnej oraz aplikacji stacjonarnej. Pod względem funkcjonalnym składa się z funkcji "work flow", "business project management", "project mamagement" i budżetowanie. Program INTENSE jest integrowalny z systami ERP</t>
  </si>
  <si>
    <t>RZI Radoszki</t>
  </si>
  <si>
    <t>Pozyskanie koncesji na zakup i obrót koncesjonowanymi materiałami wojskowymi w celu możliwości budowy obiektów wojskowych</t>
  </si>
  <si>
    <t>Budowa budynków dla wojska. Pozyskanie koncesji na zakup i obrót koncesjonowanymi materiałami wojskowymi w celu możliwości budowy obiektów wojskowych</t>
  </si>
  <si>
    <t>Grzegorz Świder, Magdalena Gardzielik</t>
  </si>
  <si>
    <t>PKP Racibórz</t>
  </si>
  <si>
    <t>Kompleksowa przebudowa dworca wraz z modernizacją analogowego systemu przekazywania informacji wraz z połączeniem z nowoczesnym systemem dynamicznej informacji pasażerskiej (SDiP)</t>
  </si>
  <si>
    <t>Połączenie systemu analogowego z z nowym w pełni cyfrowym systemem SDiP</t>
  </si>
  <si>
    <t>Grzegorz Drozd, Grzegozr Świder</t>
  </si>
  <si>
    <t>Modernizacja zabytkowego domu kultury w Stalowej Woli</t>
  </si>
  <si>
    <t>MDK Stalowa Wola</t>
  </si>
  <si>
    <t>Pływalnia w Krakowie przy SP 144</t>
  </si>
  <si>
    <t>Ernest Buć</t>
  </si>
  <si>
    <t>Basen w Gogolinie</t>
  </si>
  <si>
    <t>Modernizacja basenu w miejscowości Gogolin</t>
  </si>
  <si>
    <t>Krzysztof Serafin, Piotr Wojciechowski</t>
  </si>
  <si>
    <t>Kompleksowe wykonanie prac renowacyjnych na elewacji budynku zabytkowego polegającej na wymianie cegieł zniszczonych, uzupełnianiu ubytków oraz na patynowaniu powierzchni elewacji</t>
  </si>
  <si>
    <t>Tomasz Kłek</t>
  </si>
  <si>
    <t>Zabezpieczenie istniejących uszkodzonych fundamentów poprzez ich odkopanie, odkrycie niezinwentaryzowanych ściągów stalowych, wykonanie nowych ściągów stalowych i zabetonowanie nowych ław fundamentowych</t>
  </si>
  <si>
    <t>Stabilizacja budynku poprzez zabezpieczenie uszkodzonych fundamentów</t>
  </si>
  <si>
    <t>Kompleksowe wykonanie prac konserwatorskich i remontowych widowni (renowacja sufitu ścian, malowanie ,sztukateria , elementy dekoracyjne</t>
  </si>
  <si>
    <t>Renowacja widowni</t>
  </si>
  <si>
    <t>Przebudowa Centrum Kultury Śląskiej Grota w Świętochłowicach</t>
  </si>
  <si>
    <t>Budowa basenu Clepardia w Krakowie</t>
  </si>
  <si>
    <t>Zabezpieczenie wykopu przed napływem wód gruntowych oraz przed osówaniem gruntu</t>
  </si>
  <si>
    <t>Maksymilian Chudecki</t>
  </si>
  <si>
    <t>Zespół Szkół Specjalnych przy ulicy Dygasińskiego w Krakowie</t>
  </si>
  <si>
    <t>Wykonanie podbić fundamentów w technologii "jet-grouting" istniejącego budynku zespołu szkół</t>
  </si>
  <si>
    <t>Zabezpieczenie istniejących fundamentów w celu nadbudowy istniejącego budynku</t>
  </si>
  <si>
    <t>Karol Paśniewski</t>
  </si>
  <si>
    <t>Wykonanie pionowej przesłony przeciwfiltracyjnej z kolumn DSM oraz poziomej przesłony przeciwfiltracyjnej z kolumn "jet-grouting"</t>
  </si>
  <si>
    <t>Karol Paśniewski, Mariola Moskal</t>
  </si>
  <si>
    <t>Zdjecie formy z istniejących maszkaronów i wykonanie odlewó gispowych.Oddtworzenie i reprofilowanie gzymsów.Odtworzenie kapiteli.Odtworzenie boniowania.</t>
  </si>
  <si>
    <t>Wykoanie kostrukcji stalowej do podwieszenia więźby dachowej</t>
  </si>
  <si>
    <t>Kompleksowe wykonanie konstrukcji stalowej wraz z pomostami serwisowymi i podkonstrukcją do podwieszenia technologii sceny i zabytkowej więźby dachowej</t>
  </si>
  <si>
    <t>Wykoanie obróbek blacharskich z miedzi</t>
  </si>
  <si>
    <t>Odtworzenie metodą rzemieślniczą ubytków w poszyciu dachowym z miedzi oraz wykoanie nowych elementów nawiązujących do charakteru dworca.</t>
  </si>
  <si>
    <t>Wykoanie atrap kominów na dachu dworca</t>
  </si>
  <si>
    <t>Wykoanie odlewów słupów żeliwnych oraz odwtworzenie historycznych balustrad</t>
  </si>
  <si>
    <t>Wykoanie odlewów słów podrztymujących strop na wzór zachowanych słupów historycznych.Renowacja i uzupełnie braków w balustradach na klatce schodowej</t>
  </si>
  <si>
    <t>Jacek Głowala, Artur Sutryk,Tomasz Zawadzki.</t>
  </si>
  <si>
    <t>PKP Łuków 1</t>
  </si>
  <si>
    <t>PKP Łuków 2</t>
  </si>
  <si>
    <t>PKP Łuków 3</t>
  </si>
  <si>
    <t>PKP Łuków 4</t>
  </si>
  <si>
    <t>PKP Łuków 5</t>
  </si>
  <si>
    <t xml:space="preserve">Wybudowanie obiektu basenu i instalacja ruchomego dna umożliwiającego zwiększenie funkcjonalności obiektu </t>
  </si>
  <si>
    <t>w toku (koszty do 31.08.2025)</t>
  </si>
  <si>
    <t>30.09.2025 (koszty do 31.08.2025)</t>
  </si>
  <si>
    <t>31.08.2026 (koszty do 31.08.2025)</t>
  </si>
  <si>
    <t>Wykoanie konstrukcji stalowych i obudowanie  po kątem  wizualnym do kominów z czasów świetności dworca</t>
  </si>
  <si>
    <t>Rok</t>
  </si>
  <si>
    <t>suma</t>
  </si>
  <si>
    <t>Koszty kwalifikowane</t>
  </si>
  <si>
    <t>Tomasz Świeca - WNIP</t>
  </si>
  <si>
    <t>Instalacja i modernizacja wyposażenia scenicznego wraz z opracowaniem dokumentacji i dostosowaniem do wymogów obiektu zabytkowego. Wyposażenie sceniczne, pierwsza duza scena, akustyka itd.</t>
  </si>
  <si>
    <t>Budowa basenu przy szkole wraz z zastosowaniem systemu podnoszonego dna - pierwszy raz technologia podnoszonego dna (do potwierdzenia?)</t>
  </si>
  <si>
    <t xml:space="preserve">Modernizacja basenu wraz z innowacyjnym sposobem rewitalizacji niecki basenowej. Wstawienie specjalnie przygotowanej niecki ze stali nierdzewnej w istniejącą wczesniej konstrukcję żelbetową - specjalistyczna firma austriacka, zaprojektowałą specjalistyczną obudowę, bardzo skomplikowany projekt, specjalne elementy. </t>
  </si>
  <si>
    <t>Renowacja zniszczonej zabytkowej elewacji pod nadzorem konserwatora zabytków. Praca miała charakter rzemieślniczy, wymagała zastosowania specjalistycznych materiałów - konserwator zabytków już był, skupiaćsię na innych aspektach</t>
  </si>
  <si>
    <t>Tomasz Queck - co było nietypowe, odkopanie fundamentów, tak starych fundamentów, zastosowano specjalistyczne wzmocnienia</t>
  </si>
  <si>
    <t>Tomasz Queck, Marcin Oświeciński - omówić ten aspekt</t>
  </si>
  <si>
    <t>Obudowa wykopu w technologii ścian z grodzic stalowych - czy pierwsze grodzice stalowe (pierwszy raz w oddziale, ale do zweryfikowania)</t>
  </si>
  <si>
    <t>Wykonanie ronowacji zabytkowej elewacji dworcja. - pierwszy zabytkowy dworzec (do potwierdzenia)</t>
  </si>
  <si>
    <t>Wysokość podatku za minimum 3 ostatnie lata:</t>
  </si>
  <si>
    <t>PO</t>
  </si>
  <si>
    <t>Oszacowanie</t>
  </si>
  <si>
    <t>Oszacowanie 2025</t>
  </si>
  <si>
    <t>2023-2024</t>
  </si>
  <si>
    <t>2025-2030</t>
  </si>
  <si>
    <t>PKP Łuków</t>
  </si>
  <si>
    <t>Koszty kwalifikowane 23 i 24</t>
  </si>
  <si>
    <t>Oszczędność</t>
  </si>
  <si>
    <t>Łączna kwota</t>
  </si>
  <si>
    <t>Podatek zapłacony</t>
  </si>
  <si>
    <t>KK pozostałe do odliczenia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</si>
</sst>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zł&quot;_-;\-* #,##0.00\ &quot;zł&quot;_-;_-* &quot;-&quot;??\ &quot;zł&quot;_-;_-@_-"/>
    <numFmt numFmtId="164" formatCode="#,##0.00\ &quot;zł&quot;"/>
    <numFmt numFmtId="165" formatCode="_-* #,##0.00\ _z_ł_-;\-* #,##0.00\ _z_ł_-;_-* &quot;-&quot;??\ _z_ł_-;_-@_-"/>
  </numFmts>
  <fonts count="8" x14ac:knownFonts="1">
    <font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16"/>
      <color rgb="FF002060"/>
      <name val="Calibri"/>
      <family val="2"/>
      <charset val="238"/>
      <scheme val="minor"/>
    </font>
    <font>
      <b/>
      <u/>
      <sz val="16"/>
      <color rgb="FF002060"/>
      <name val="Calibri"/>
      <family val="2"/>
      <charset val="238"/>
      <scheme val="minor"/>
    </font>
    <font>
      <b/>
      <sz val="20"/>
      <color rgb="FF00206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theme="1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5">
    <xf numFmtId="0" fontId="0" fillId="0" borderId="0" xfId="0"/>
    <xf numFmtId="0" fontId="1" fillId="0" borderId="0" xfId="0" applyFont="1"/>
    <xf numFmtId="0" fontId="0" fillId="2" borderId="6" xfId="0" applyFill="1" applyBorder="1"/>
    <xf numFmtId="0" fontId="3" fillId="2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0" fillId="3" borderId="6" xfId="0" applyFill="1" applyBorder="1"/>
    <xf numFmtId="0" fontId="0" fillId="0" borderId="0" xfId="0" applyAlignment="1">
      <alignment horizontal="left"/>
    </xf>
    <xf numFmtId="0" fontId="0" fillId="2" borderId="5" xfId="0" applyFill="1" applyBorder="1" applyAlignment="1">
      <alignment horizontal="left"/>
    </xf>
    <xf numFmtId="0" fontId="3" fillId="2" borderId="3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0" fillId="0" borderId="17" xfId="0" applyBorder="1"/>
    <xf numFmtId="0" fontId="0" fillId="2" borderId="4" xfId="0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top" wrapText="1"/>
    </xf>
    <xf numFmtId="14" fontId="0" fillId="2" borderId="1" xfId="0" applyNumberFormat="1" applyFill="1" applyBorder="1" applyAlignment="1">
      <alignment horizontal="left" vertical="top" wrapText="1"/>
    </xf>
    <xf numFmtId="0" fontId="0" fillId="3" borderId="1" xfId="0" applyFill="1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0" xfId="0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left" vertical="top" wrapText="1"/>
    </xf>
    <xf numFmtId="4" fontId="0" fillId="0" borderId="20" xfId="0" applyNumberFormat="1" applyBorder="1" applyAlignment="1">
      <alignment horizontal="left" vertical="top" wrapText="1"/>
    </xf>
    <xf numFmtId="4" fontId="0" fillId="0" borderId="6" xfId="0" applyNumberFormat="1" applyBorder="1"/>
    <xf numFmtId="4" fontId="0" fillId="0" borderId="19" xfId="0" applyNumberFormat="1" applyBorder="1"/>
    <xf numFmtId="0" fontId="0" fillId="2" borderId="1" xfId="0" applyFill="1" applyBorder="1" applyAlignment="1">
      <alignment vertical="top" wrapText="1"/>
    </xf>
    <xf numFmtId="0" fontId="3" fillId="2" borderId="3" xfId="0" applyFont="1" applyFill="1" applyBorder="1" applyAlignment="1">
      <alignment vertical="center" wrapText="1"/>
    </xf>
    <xf numFmtId="4" fontId="0" fillId="4" borderId="1" xfId="0" applyNumberFormat="1" applyFill="1" applyBorder="1" applyAlignment="1">
      <alignment horizontal="left" vertical="top" wrapText="1"/>
    </xf>
    <xf numFmtId="0" fontId="0" fillId="2" borderId="4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0" fillId="0" borderId="16" xfId="0" applyBorder="1" applyAlignment="1">
      <alignment vertical="top" wrapText="1"/>
    </xf>
    <xf numFmtId="14" fontId="0" fillId="4" borderId="1" xfId="0" applyNumberFormat="1" applyFill="1" applyBorder="1" applyAlignment="1">
      <alignment horizontal="left" vertical="top" wrapText="1"/>
    </xf>
    <xf numFmtId="4" fontId="0" fillId="4" borderId="20" xfId="0" applyNumberFormat="1" applyFill="1" applyBorder="1" applyAlignment="1">
      <alignment horizontal="left" vertical="top" wrapText="1"/>
    </xf>
    <xf numFmtId="0" fontId="0" fillId="4" borderId="16" xfId="0" applyFill="1" applyBorder="1" applyAlignment="1">
      <alignment vertical="top" wrapText="1"/>
    </xf>
    <xf numFmtId="0" fontId="0" fillId="4" borderId="4" xfId="0" applyFill="1" applyBorder="1" applyAlignment="1">
      <alignment vertical="top" wrapText="1"/>
    </xf>
    <xf numFmtId="0" fontId="0" fillId="4" borderId="1" xfId="0" applyFill="1" applyBorder="1" applyAlignment="1">
      <alignment vertical="top" wrapText="1"/>
    </xf>
    <xf numFmtId="0" fontId="0" fillId="2" borderId="21" xfId="0" applyFill="1" applyBorder="1" applyAlignment="1">
      <alignment vertical="top" wrapText="1"/>
    </xf>
    <xf numFmtId="0" fontId="0" fillId="4" borderId="21" xfId="0" applyFill="1" applyBorder="1" applyAlignment="1">
      <alignment vertical="top" wrapText="1"/>
    </xf>
    <xf numFmtId="0" fontId="3" fillId="2" borderId="0" xfId="0" applyFont="1" applyFill="1" applyAlignment="1">
      <alignment horizontal="center" vertical="center" wrapText="1"/>
    </xf>
    <xf numFmtId="164" fontId="0" fillId="0" borderId="0" xfId="0" applyNumberFormat="1"/>
    <xf numFmtId="0" fontId="0" fillId="5" borderId="16" xfId="0" applyFill="1" applyBorder="1" applyAlignment="1">
      <alignment vertical="top" wrapText="1"/>
    </xf>
    <xf numFmtId="0" fontId="7" fillId="6" borderId="30" xfId="0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0" fontId="7" fillId="6" borderId="31" xfId="0" applyFont="1" applyFill="1" applyBorder="1" applyAlignment="1">
      <alignment horizontal="center"/>
    </xf>
    <xf numFmtId="44" fontId="0" fillId="0" borderId="0" xfId="0" applyNumberFormat="1"/>
    <xf numFmtId="165" fontId="7" fillId="0" borderId="1" xfId="0" applyNumberFormat="1" applyFont="1" applyBorder="1"/>
    <xf numFmtId="165" fontId="0" fillId="0" borderId="0" xfId="0" applyNumberFormat="1"/>
    <xf numFmtId="4" fontId="0" fillId="0" borderId="0" xfId="0" applyNumberFormat="1"/>
    <xf numFmtId="0" fontId="0" fillId="0" borderId="21" xfId="0" applyBorder="1"/>
    <xf numFmtId="164" fontId="0" fillId="0" borderId="1" xfId="0" applyNumberFormat="1" applyBorder="1"/>
    <xf numFmtId="4" fontId="7" fillId="0" borderId="24" xfId="0" applyNumberFormat="1" applyFont="1" applyBorder="1"/>
    <xf numFmtId="0" fontId="0" fillId="5" borderId="27" xfId="0" applyFill="1" applyBorder="1" applyAlignment="1">
      <alignment vertical="top" wrapText="1"/>
    </xf>
    <xf numFmtId="0" fontId="0" fillId="5" borderId="29" xfId="0" applyFill="1" applyBorder="1" applyAlignment="1">
      <alignment vertical="top" wrapText="1"/>
    </xf>
    <xf numFmtId="0" fontId="0" fillId="4" borderId="24" xfId="0" applyFill="1" applyBorder="1" applyAlignment="1">
      <alignment vertical="top" wrapText="1"/>
    </xf>
    <xf numFmtId="0" fontId="0" fillId="4" borderId="26" xfId="0" applyFill="1" applyBorder="1" applyAlignment="1">
      <alignment vertical="top" wrapText="1"/>
    </xf>
    <xf numFmtId="0" fontId="0" fillId="4" borderId="21" xfId="0" applyFill="1" applyBorder="1" applyAlignment="1">
      <alignment vertical="top" wrapText="1"/>
    </xf>
    <xf numFmtId="0" fontId="0" fillId="4" borderId="23" xfId="0" applyFill="1" applyBorder="1" applyAlignment="1">
      <alignment vertical="top" wrapText="1"/>
    </xf>
    <xf numFmtId="0" fontId="0" fillId="4" borderId="27" xfId="0" applyFill="1" applyBorder="1" applyAlignment="1">
      <alignment vertical="top" wrapText="1"/>
    </xf>
    <xf numFmtId="0" fontId="0" fillId="4" borderId="29" xfId="0" applyFill="1" applyBorder="1" applyAlignment="1">
      <alignment vertical="top" wrapText="1"/>
    </xf>
    <xf numFmtId="0" fontId="0" fillId="3" borderId="24" xfId="0" applyFill="1" applyBorder="1" applyAlignment="1">
      <alignment vertical="top" wrapText="1"/>
    </xf>
    <xf numFmtId="0" fontId="0" fillId="3" borderId="26" xfId="0" applyFill="1" applyBorder="1" applyAlignment="1">
      <alignment vertical="top" wrapText="1"/>
    </xf>
    <xf numFmtId="0" fontId="0" fillId="0" borderId="27" xfId="0" applyBorder="1" applyAlignment="1">
      <alignment vertical="top" wrapText="1"/>
    </xf>
    <xf numFmtId="0" fontId="0" fillId="0" borderId="29" xfId="0" applyBorder="1" applyAlignment="1">
      <alignment vertical="top" wrapText="1"/>
    </xf>
    <xf numFmtId="0" fontId="0" fillId="2" borderId="21" xfId="0" applyFill="1" applyBorder="1" applyAlignment="1">
      <alignment vertical="top" wrapText="1"/>
    </xf>
    <xf numFmtId="0" fontId="0" fillId="2" borderId="23" xfId="0" applyFill="1" applyBorder="1" applyAlignment="1">
      <alignment vertical="top" wrapText="1"/>
    </xf>
    <xf numFmtId="0" fontId="0" fillId="2" borderId="24" xfId="0" applyFill="1" applyBorder="1" applyAlignment="1">
      <alignment vertical="top" wrapText="1"/>
    </xf>
    <xf numFmtId="0" fontId="0" fillId="2" borderId="26" xfId="0" applyFill="1" applyBorder="1" applyAlignment="1">
      <alignment vertical="top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8" xfId="0" applyFont="1" applyFill="1" applyBorder="1" applyAlignment="1">
      <alignment horizontal="center" vertical="center" wrapText="1"/>
    </xf>
    <xf numFmtId="0" fontId="2" fillId="0" borderId="7" xfId="1" applyBorder="1" applyAlignment="1">
      <alignment horizontal="center"/>
    </xf>
    <xf numFmtId="0" fontId="2" fillId="0" borderId="8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0" xfId="1" applyBorder="1" applyAlignment="1">
      <alignment horizontal="center"/>
    </xf>
    <xf numFmtId="0" fontId="0" fillId="3" borderId="25" xfId="0" applyFill="1" applyBorder="1" applyAlignment="1">
      <alignment vertical="top" wrapText="1"/>
    </xf>
    <xf numFmtId="0" fontId="0" fillId="0" borderId="21" xfId="0" applyBorder="1" applyAlignment="1">
      <alignment vertical="top" wrapText="1"/>
    </xf>
    <xf numFmtId="0" fontId="0" fillId="0" borderId="22" xfId="0" applyBorder="1" applyAlignment="1">
      <alignment vertical="top" wrapText="1"/>
    </xf>
    <xf numFmtId="0" fontId="0" fillId="0" borderId="23" xfId="0" applyBorder="1" applyAlignment="1">
      <alignment vertical="top" wrapText="1"/>
    </xf>
    <xf numFmtId="0" fontId="0" fillId="2" borderId="25" xfId="0" applyFill="1" applyBorder="1" applyAlignment="1">
      <alignment vertical="top" wrapText="1"/>
    </xf>
    <xf numFmtId="0" fontId="0" fillId="0" borderId="28" xfId="0" applyBorder="1" applyAlignment="1">
      <alignment vertical="top" wrapText="1"/>
    </xf>
    <xf numFmtId="0" fontId="7" fillId="6" borderId="24" xfId="0" applyFont="1" applyFill="1" applyBorder="1" applyAlignment="1">
      <alignment horizontal="center"/>
    </xf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1219201</xdr:colOff>
      <xdr:row>1</xdr:row>
      <xdr:rowOff>45721</xdr:rowOff>
    </xdr:from>
    <xdr:to>
      <xdr:col>0</xdr:col>
      <xdr:colOff>2534921</xdr:colOff>
      <xdr:row>6</xdr:row>
      <xdr:rowOff>142540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36007A29-2178-B93A-E14E-05559AA7E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1" y="228601"/>
          <a:ext cx="1295400" cy="1295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5D088C-FA09-4009-BD84-88257DE665AF}" name="Tabela1" displayName="Tabela1" ref="B2:B4" totalsRowShown="0">
  <autoFilter ref="B2:B4" xr:uid="{5AFCEF56-A0F8-4A30-85CB-C903D9FA4BBB}"/>
  <tableColumns count="1">
    <tableColumn id="1" xr3:uid="{FCAB55C1-B0C5-41BF-A44F-4E548CA03D75}" name="K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L62"/>
  <sheetViews>
    <sheetView tabSelected="1" zoomScale="70" zoomScaleNormal="70" zoomScaleSheetLayoutView="30" workbookViewId="0">
      <pane ySplit="9" topLeftCell="A10" activePane="bottomLeft" state="frozen"/>
      <selection pane="bottomLeft" activeCell="A27" sqref="A27"/>
    </sheetView>
  </sheetViews>
  <sheetFormatPr defaultRowHeight="14.4" x14ac:dyDescent="0.3"/>
  <cols>
    <col min="1" max="1" width="46" customWidth="1"/>
    <col min="2" max="2" width="70.109375" customWidth="1"/>
    <col min="3" max="3" width="21.5546875" customWidth="1"/>
    <col min="4" max="4" width="22.33203125" customWidth="1"/>
    <col min="5" max="5" width="47.33203125" customWidth="1"/>
    <col min="6" max="6" width="22.109375" customWidth="1"/>
    <col min="7" max="7" width="22.6640625" customWidth="1"/>
    <col min="8" max="8" width="27.5546875" customWidth="1"/>
    <col min="9" max="10" width="31.44140625" customWidth="1"/>
    <col min="11" max="11" width="30.88671875" customWidth="1"/>
    <col min="12" max="12" width="36" customWidth="1"/>
  </cols>
  <sheetData>
    <row r="1" spans="1:12" ht="14.7" customHeight="1" x14ac:dyDescent="0.3">
      <c r="A1" s="74"/>
      <c r="B1" s="75"/>
      <c r="C1" s="65" t="s">
        <v>0</v>
      </c>
      <c r="D1" s="66"/>
      <c r="E1" s="66"/>
      <c r="F1" s="66"/>
      <c r="G1" s="66"/>
      <c r="H1" s="66"/>
      <c r="I1" s="66"/>
      <c r="J1" s="66"/>
      <c r="K1" s="67"/>
    </row>
    <row r="2" spans="1:12" ht="14.7" customHeight="1" x14ac:dyDescent="0.3">
      <c r="A2" s="76"/>
      <c r="B2" s="77"/>
      <c r="C2" s="68"/>
      <c r="D2" s="69"/>
      <c r="E2" s="69"/>
      <c r="F2" s="69"/>
      <c r="G2" s="69"/>
      <c r="H2" s="69"/>
      <c r="I2" s="69"/>
      <c r="J2" s="69"/>
      <c r="K2" s="70"/>
    </row>
    <row r="3" spans="1:12" ht="36" customHeight="1" x14ac:dyDescent="0.3">
      <c r="A3" s="76"/>
      <c r="B3" s="77"/>
      <c r="C3" s="68"/>
      <c r="D3" s="69"/>
      <c r="E3" s="69"/>
      <c r="F3" s="69"/>
      <c r="G3" s="69"/>
      <c r="H3" s="69"/>
      <c r="I3" s="69"/>
      <c r="J3" s="69"/>
      <c r="K3" s="70"/>
    </row>
    <row r="4" spans="1:12" ht="14.7" customHeight="1" x14ac:dyDescent="0.3">
      <c r="A4" s="76"/>
      <c r="B4" s="77"/>
      <c r="C4" s="68"/>
      <c r="D4" s="69"/>
      <c r="E4" s="69"/>
      <c r="F4" s="69"/>
      <c r="G4" s="69"/>
      <c r="H4" s="69"/>
      <c r="I4" s="69"/>
      <c r="J4" s="69"/>
      <c r="K4" s="70"/>
    </row>
    <row r="5" spans="1:12" ht="14.7" customHeight="1" x14ac:dyDescent="0.3">
      <c r="A5" s="76"/>
      <c r="B5" s="77"/>
      <c r="C5" s="68"/>
      <c r="D5" s="69"/>
      <c r="E5" s="69"/>
      <c r="F5" s="69"/>
      <c r="G5" s="69"/>
      <c r="H5" s="69"/>
      <c r="I5" s="69"/>
      <c r="J5" s="69"/>
      <c r="K5" s="70"/>
    </row>
    <row r="6" spans="1:12" ht="14.7" customHeight="1" x14ac:dyDescent="0.3">
      <c r="A6" s="76"/>
      <c r="B6" s="77"/>
      <c r="C6" s="68"/>
      <c r="D6" s="69"/>
      <c r="E6" s="69"/>
      <c r="F6" s="69"/>
      <c r="G6" s="69"/>
      <c r="H6" s="69"/>
      <c r="I6" s="69"/>
      <c r="J6" s="69"/>
      <c r="K6" s="70"/>
    </row>
    <row r="7" spans="1:12" ht="14.7" customHeight="1" x14ac:dyDescent="0.3">
      <c r="A7" s="76"/>
      <c r="B7" s="77"/>
      <c r="C7" s="68"/>
      <c r="D7" s="69"/>
      <c r="E7" s="69"/>
      <c r="F7" s="69"/>
      <c r="G7" s="69"/>
      <c r="H7" s="69"/>
      <c r="I7" s="69"/>
      <c r="J7" s="69"/>
      <c r="K7" s="70"/>
    </row>
    <row r="8" spans="1:12" ht="15" customHeight="1" thickBot="1" x14ac:dyDescent="0.35">
      <c r="A8" s="76"/>
      <c r="B8" s="77"/>
      <c r="C8" s="71"/>
      <c r="D8" s="72"/>
      <c r="E8" s="72"/>
      <c r="F8" s="72"/>
      <c r="G8" s="72"/>
      <c r="H8" s="72"/>
      <c r="I8" s="72"/>
      <c r="J8" s="72"/>
      <c r="K8" s="73"/>
    </row>
    <row r="9" spans="1:12" s="1" customFormat="1" ht="154.19999999999999" customHeight="1" x14ac:dyDescent="0.3">
      <c r="A9" s="3" t="s">
        <v>1</v>
      </c>
      <c r="B9" s="24" t="s">
        <v>2</v>
      </c>
      <c r="C9" s="8" t="s">
        <v>3</v>
      </c>
      <c r="D9" s="8" t="s">
        <v>4</v>
      </c>
      <c r="E9" s="8" t="s">
        <v>5</v>
      </c>
      <c r="F9" s="4" t="s">
        <v>6</v>
      </c>
      <c r="G9" s="4" t="s">
        <v>7</v>
      </c>
      <c r="H9" s="4" t="s">
        <v>8</v>
      </c>
      <c r="I9" s="9" t="s">
        <v>13</v>
      </c>
      <c r="J9" s="9" t="s">
        <v>14</v>
      </c>
      <c r="K9" s="10" t="s">
        <v>9</v>
      </c>
    </row>
    <row r="10" spans="1:12" ht="49.95" customHeight="1" x14ac:dyDescent="0.3">
      <c r="A10" s="79" t="s">
        <v>15</v>
      </c>
      <c r="B10" s="63" t="s">
        <v>16</v>
      </c>
      <c r="C10" s="14">
        <v>45108</v>
      </c>
      <c r="D10" s="14">
        <v>45291</v>
      </c>
      <c r="E10" s="63" t="s">
        <v>17</v>
      </c>
      <c r="F10" s="57" t="s">
        <v>11</v>
      </c>
      <c r="G10" s="57" t="s">
        <v>12</v>
      </c>
      <c r="H10" s="57" t="s">
        <v>11</v>
      </c>
      <c r="I10" s="19">
        <v>115241.18</v>
      </c>
      <c r="J10" s="20">
        <v>0</v>
      </c>
      <c r="K10" s="59" t="s">
        <v>71</v>
      </c>
      <c r="L10" s="1"/>
    </row>
    <row r="11" spans="1:12" ht="49.95" customHeight="1" x14ac:dyDescent="0.3">
      <c r="A11" s="80"/>
      <c r="B11" s="82"/>
      <c r="C11" s="14">
        <v>45292</v>
      </c>
      <c r="D11" s="14">
        <v>45657</v>
      </c>
      <c r="E11" s="82"/>
      <c r="F11" s="78"/>
      <c r="G11" s="78"/>
      <c r="H11" s="78"/>
      <c r="I11" s="19">
        <v>345240.1</v>
      </c>
      <c r="J11" s="20">
        <v>0</v>
      </c>
      <c r="K11" s="83"/>
      <c r="L11" s="1"/>
    </row>
    <row r="12" spans="1:12" ht="49.95" customHeight="1" x14ac:dyDescent="0.3">
      <c r="A12" s="81"/>
      <c r="B12" s="64"/>
      <c r="C12" s="14">
        <v>45658</v>
      </c>
      <c r="D12" s="14">
        <v>45838</v>
      </c>
      <c r="E12" s="64"/>
      <c r="F12" s="58"/>
      <c r="G12" s="58"/>
      <c r="H12" s="58"/>
      <c r="I12" s="19">
        <v>70236.850000000006</v>
      </c>
      <c r="J12" s="20">
        <v>0</v>
      </c>
      <c r="K12" s="60"/>
      <c r="L12" s="1"/>
    </row>
    <row r="13" spans="1:12" ht="30" customHeight="1" x14ac:dyDescent="0.3">
      <c r="A13" s="61" t="s">
        <v>18</v>
      </c>
      <c r="B13" s="63" t="s">
        <v>20</v>
      </c>
      <c r="C13" s="14">
        <v>44927</v>
      </c>
      <c r="D13" s="14">
        <v>45291</v>
      </c>
      <c r="E13" s="63" t="s">
        <v>19</v>
      </c>
      <c r="F13" s="57" t="s">
        <v>11</v>
      </c>
      <c r="G13" s="57" t="s">
        <v>11</v>
      </c>
      <c r="H13" s="57" t="s">
        <v>11</v>
      </c>
      <c r="I13" s="19">
        <v>291356.96999999997</v>
      </c>
      <c r="J13" s="20">
        <v>0</v>
      </c>
      <c r="K13" s="59" t="s">
        <v>21</v>
      </c>
      <c r="L13" s="1"/>
    </row>
    <row r="14" spans="1:12" ht="30" customHeight="1" x14ac:dyDescent="0.3">
      <c r="A14" s="62"/>
      <c r="B14" s="64"/>
      <c r="C14" s="14">
        <v>45292</v>
      </c>
      <c r="D14" s="14">
        <v>45657</v>
      </c>
      <c r="E14" s="64"/>
      <c r="F14" s="58"/>
      <c r="G14" s="58"/>
      <c r="H14" s="58"/>
      <c r="I14" s="19">
        <v>250041.94</v>
      </c>
      <c r="J14" s="20">
        <v>0</v>
      </c>
      <c r="K14" s="60"/>
      <c r="L14" s="1"/>
    </row>
    <row r="15" spans="1:12" ht="46.2" customHeight="1" x14ac:dyDescent="0.3">
      <c r="A15" s="61" t="s">
        <v>22</v>
      </c>
      <c r="B15" s="63" t="s">
        <v>23</v>
      </c>
      <c r="C15" s="14">
        <v>44927</v>
      </c>
      <c r="D15" s="14">
        <v>45291</v>
      </c>
      <c r="E15" s="63" t="s">
        <v>24</v>
      </c>
      <c r="F15" s="57" t="s">
        <v>11</v>
      </c>
      <c r="G15" s="57" t="s">
        <v>11</v>
      </c>
      <c r="H15" s="57" t="s">
        <v>11</v>
      </c>
      <c r="I15" s="19">
        <v>145546.43</v>
      </c>
      <c r="J15" s="20">
        <v>0</v>
      </c>
      <c r="K15" s="59" t="s">
        <v>25</v>
      </c>
      <c r="L15" s="1"/>
    </row>
    <row r="16" spans="1:12" ht="46.2" customHeight="1" x14ac:dyDescent="0.3">
      <c r="A16" s="62"/>
      <c r="B16" s="64"/>
      <c r="C16" s="14">
        <v>45292</v>
      </c>
      <c r="D16" s="14">
        <v>45580</v>
      </c>
      <c r="E16" s="64"/>
      <c r="F16" s="58"/>
      <c r="G16" s="58"/>
      <c r="H16" s="58"/>
      <c r="I16" s="19">
        <v>122447.48</v>
      </c>
      <c r="J16" s="20">
        <v>0</v>
      </c>
      <c r="K16" s="60"/>
      <c r="L16" s="1"/>
    </row>
    <row r="17" spans="1:12" ht="57.6" x14ac:dyDescent="0.3">
      <c r="A17" s="26" t="s">
        <v>27</v>
      </c>
      <c r="B17" s="23" t="s">
        <v>26</v>
      </c>
      <c r="C17" s="14">
        <v>44927</v>
      </c>
      <c r="D17" s="14">
        <v>45291</v>
      </c>
      <c r="E17" s="23" t="s">
        <v>72</v>
      </c>
      <c r="F17" s="27" t="s">
        <v>11</v>
      </c>
      <c r="G17" s="27" t="s">
        <v>11</v>
      </c>
      <c r="H17" s="27" t="s">
        <v>11</v>
      </c>
      <c r="I17" s="19">
        <v>121661.59</v>
      </c>
      <c r="J17" s="20">
        <v>0</v>
      </c>
      <c r="K17" s="28" t="s">
        <v>25</v>
      </c>
      <c r="L17" s="1"/>
    </row>
    <row r="18" spans="1:12" ht="43.2" x14ac:dyDescent="0.3">
      <c r="A18" s="26" t="s">
        <v>28</v>
      </c>
      <c r="B18" s="23" t="s">
        <v>73</v>
      </c>
      <c r="C18" s="14">
        <v>44927</v>
      </c>
      <c r="D18" s="14">
        <v>45291</v>
      </c>
      <c r="E18" s="23" t="s">
        <v>63</v>
      </c>
      <c r="F18" s="27" t="s">
        <v>11</v>
      </c>
      <c r="G18" s="27" t="s">
        <v>11</v>
      </c>
      <c r="H18" s="27" t="s">
        <v>11</v>
      </c>
      <c r="I18" s="19">
        <v>47183.21</v>
      </c>
      <c r="J18" s="20">
        <v>0</v>
      </c>
      <c r="K18" s="28" t="s">
        <v>29</v>
      </c>
      <c r="L18" s="1"/>
    </row>
    <row r="19" spans="1:12" ht="36" customHeight="1" x14ac:dyDescent="0.3">
      <c r="A19" s="53" t="s">
        <v>30</v>
      </c>
      <c r="B19" s="51" t="s">
        <v>74</v>
      </c>
      <c r="C19" s="29">
        <v>45444</v>
      </c>
      <c r="D19" s="29">
        <v>45657</v>
      </c>
      <c r="E19" s="51" t="s">
        <v>31</v>
      </c>
      <c r="F19" s="51" t="s">
        <v>11</v>
      </c>
      <c r="G19" s="51" t="s">
        <v>11</v>
      </c>
      <c r="H19" s="51" t="s">
        <v>11</v>
      </c>
      <c r="I19" s="25">
        <v>102062.83</v>
      </c>
      <c r="J19" s="30">
        <v>0</v>
      </c>
      <c r="K19" s="55" t="s">
        <v>32</v>
      </c>
      <c r="L19" s="1"/>
    </row>
    <row r="20" spans="1:12" ht="36" customHeight="1" x14ac:dyDescent="0.3">
      <c r="A20" s="54"/>
      <c r="B20" s="52"/>
      <c r="C20" s="29">
        <v>45658</v>
      </c>
      <c r="D20" s="29">
        <v>45869</v>
      </c>
      <c r="E20" s="52"/>
      <c r="F20" s="52"/>
      <c r="G20" s="52"/>
      <c r="H20" s="52"/>
      <c r="I20" s="25">
        <v>74596.490000000005</v>
      </c>
      <c r="J20" s="30">
        <v>0</v>
      </c>
      <c r="K20" s="56"/>
      <c r="L20" s="1"/>
    </row>
    <row r="21" spans="1:12" ht="61.8" customHeight="1" x14ac:dyDescent="0.3">
      <c r="A21" s="53" t="s">
        <v>39</v>
      </c>
      <c r="B21" s="51" t="s">
        <v>33</v>
      </c>
      <c r="C21" s="29">
        <v>45597</v>
      </c>
      <c r="D21" s="29">
        <v>45657</v>
      </c>
      <c r="E21" s="51" t="s">
        <v>75</v>
      </c>
      <c r="F21" s="51" t="s">
        <v>11</v>
      </c>
      <c r="G21" s="51" t="s">
        <v>11</v>
      </c>
      <c r="H21" s="51" t="s">
        <v>11</v>
      </c>
      <c r="I21" s="25">
        <v>41627.870000000003</v>
      </c>
      <c r="J21" s="30">
        <v>0</v>
      </c>
      <c r="K21" s="55" t="s">
        <v>34</v>
      </c>
      <c r="L21" s="1"/>
    </row>
    <row r="22" spans="1:12" ht="61.8" customHeight="1" x14ac:dyDescent="0.3">
      <c r="A22" s="54"/>
      <c r="B22" s="52"/>
      <c r="C22" s="29">
        <v>45658</v>
      </c>
      <c r="D22" s="29" t="s">
        <v>64</v>
      </c>
      <c r="E22" s="52"/>
      <c r="F22" s="52"/>
      <c r="G22" s="52"/>
      <c r="H22" s="52"/>
      <c r="I22" s="25">
        <v>46728.98</v>
      </c>
      <c r="J22" s="30">
        <v>0</v>
      </c>
      <c r="K22" s="56"/>
      <c r="L22" s="1"/>
    </row>
    <row r="23" spans="1:12" ht="61.8" customHeight="1" x14ac:dyDescent="0.3">
      <c r="A23" s="53" t="s">
        <v>39</v>
      </c>
      <c r="B23" s="51" t="s">
        <v>35</v>
      </c>
      <c r="C23" s="29">
        <v>45536</v>
      </c>
      <c r="D23" s="29">
        <v>45657</v>
      </c>
      <c r="E23" s="51" t="s">
        <v>36</v>
      </c>
      <c r="F23" s="51" t="s">
        <v>11</v>
      </c>
      <c r="G23" s="51" t="s">
        <v>11</v>
      </c>
      <c r="H23" s="51" t="s">
        <v>11</v>
      </c>
      <c r="I23" s="25">
        <v>19828.73</v>
      </c>
      <c r="J23" s="30">
        <v>0</v>
      </c>
      <c r="K23" s="38" t="s">
        <v>76</v>
      </c>
      <c r="L23" s="1"/>
    </row>
    <row r="24" spans="1:12" ht="61.8" customHeight="1" x14ac:dyDescent="0.3">
      <c r="A24" s="54"/>
      <c r="B24" s="52"/>
      <c r="C24" s="29">
        <v>45658</v>
      </c>
      <c r="D24" s="29">
        <v>45838</v>
      </c>
      <c r="E24" s="52"/>
      <c r="F24" s="52"/>
      <c r="G24" s="52"/>
      <c r="H24" s="52"/>
      <c r="I24" s="25">
        <v>33396.04</v>
      </c>
      <c r="J24" s="30">
        <v>0</v>
      </c>
      <c r="K24" s="31"/>
      <c r="L24" s="1"/>
    </row>
    <row r="25" spans="1:12" ht="28.8" x14ac:dyDescent="0.3">
      <c r="A25" s="32" t="s">
        <v>39</v>
      </c>
      <c r="B25" s="33" t="s">
        <v>37</v>
      </c>
      <c r="C25" s="29">
        <v>45870</v>
      </c>
      <c r="D25" s="29" t="s">
        <v>64</v>
      </c>
      <c r="E25" s="33" t="s">
        <v>38</v>
      </c>
      <c r="F25" s="33" t="s">
        <v>11</v>
      </c>
      <c r="G25" s="33" t="s">
        <v>11</v>
      </c>
      <c r="H25" s="33" t="s">
        <v>11</v>
      </c>
      <c r="I25" s="25">
        <v>6666.47</v>
      </c>
      <c r="J25" s="30">
        <v>0</v>
      </c>
      <c r="K25" s="38" t="s">
        <v>77</v>
      </c>
      <c r="L25" s="1"/>
    </row>
    <row r="26" spans="1:12" ht="28.8" x14ac:dyDescent="0.3">
      <c r="A26" s="32" t="s">
        <v>40</v>
      </c>
      <c r="B26" s="33" t="s">
        <v>78</v>
      </c>
      <c r="C26" s="29">
        <v>45597</v>
      </c>
      <c r="D26" s="29">
        <v>45657</v>
      </c>
      <c r="E26" s="33" t="s">
        <v>41</v>
      </c>
      <c r="F26" s="33" t="s">
        <v>11</v>
      </c>
      <c r="G26" s="33" t="s">
        <v>11</v>
      </c>
      <c r="H26" s="33" t="s">
        <v>11</v>
      </c>
      <c r="I26" s="25">
        <v>18545.75</v>
      </c>
      <c r="J26" s="30">
        <v>0</v>
      </c>
      <c r="K26" s="31" t="s">
        <v>42</v>
      </c>
      <c r="L26" s="1"/>
    </row>
    <row r="27" spans="1:12" ht="28.8" x14ac:dyDescent="0.3">
      <c r="A27" s="32" t="s">
        <v>43</v>
      </c>
      <c r="B27" s="33" t="s">
        <v>44</v>
      </c>
      <c r="C27" s="29">
        <v>45658</v>
      </c>
      <c r="D27" s="29">
        <v>45716</v>
      </c>
      <c r="E27" s="33" t="s">
        <v>45</v>
      </c>
      <c r="F27" s="33" t="s">
        <v>11</v>
      </c>
      <c r="G27" s="33" t="s">
        <v>11</v>
      </c>
      <c r="H27" s="33" t="s">
        <v>11</v>
      </c>
      <c r="I27" s="25">
        <v>36900</v>
      </c>
      <c r="J27" s="30">
        <v>0</v>
      </c>
      <c r="K27" s="31" t="s">
        <v>46</v>
      </c>
      <c r="L27" s="1"/>
    </row>
    <row r="28" spans="1:12" ht="28.8" x14ac:dyDescent="0.3">
      <c r="A28" s="32" t="s">
        <v>43</v>
      </c>
      <c r="B28" s="33" t="s">
        <v>47</v>
      </c>
      <c r="C28" s="29">
        <v>45809</v>
      </c>
      <c r="D28" s="29" t="s">
        <v>65</v>
      </c>
      <c r="E28" s="33" t="s">
        <v>41</v>
      </c>
      <c r="F28" s="33" t="s">
        <v>11</v>
      </c>
      <c r="G28" s="33" t="s">
        <v>11</v>
      </c>
      <c r="H28" s="33" t="s">
        <v>11</v>
      </c>
      <c r="I28" s="25">
        <v>56404.84</v>
      </c>
      <c r="J28" s="30">
        <v>0</v>
      </c>
      <c r="K28" s="31" t="s">
        <v>48</v>
      </c>
      <c r="L28" s="1"/>
    </row>
    <row r="29" spans="1:12" ht="30" customHeight="1" x14ac:dyDescent="0.3">
      <c r="A29" s="53" t="s">
        <v>86</v>
      </c>
      <c r="B29" s="51" t="s">
        <v>79</v>
      </c>
      <c r="C29" s="29">
        <v>45566</v>
      </c>
      <c r="D29" s="29">
        <v>45657</v>
      </c>
      <c r="E29" s="51" t="s">
        <v>49</v>
      </c>
      <c r="F29" s="51" t="s">
        <v>11</v>
      </c>
      <c r="G29" s="51" t="s">
        <v>11</v>
      </c>
      <c r="H29" s="51" t="s">
        <v>11</v>
      </c>
      <c r="I29" s="25">
        <v>16899.73</v>
      </c>
      <c r="J29" s="30">
        <v>0</v>
      </c>
      <c r="K29" s="49" t="s">
        <v>57</v>
      </c>
      <c r="L29" s="1"/>
    </row>
    <row r="30" spans="1:12" ht="30" customHeight="1" x14ac:dyDescent="0.3">
      <c r="A30" s="54"/>
      <c r="B30" s="52"/>
      <c r="C30" s="29">
        <v>45658</v>
      </c>
      <c r="D30" s="29" t="s">
        <v>66</v>
      </c>
      <c r="E30" s="52"/>
      <c r="F30" s="52"/>
      <c r="G30" s="52"/>
      <c r="H30" s="52"/>
      <c r="I30" s="25">
        <v>46653.27</v>
      </c>
      <c r="J30" s="30">
        <v>0</v>
      </c>
      <c r="K30" s="50"/>
      <c r="L30" s="1"/>
    </row>
    <row r="31" spans="1:12" ht="30" customHeight="1" x14ac:dyDescent="0.3">
      <c r="A31" s="53" t="s">
        <v>86</v>
      </c>
      <c r="B31" s="51" t="s">
        <v>50</v>
      </c>
      <c r="C31" s="29">
        <v>45566</v>
      </c>
      <c r="D31" s="29">
        <v>45657</v>
      </c>
      <c r="E31" s="51" t="s">
        <v>51</v>
      </c>
      <c r="F31" s="51" t="s">
        <v>11</v>
      </c>
      <c r="G31" s="51" t="s">
        <v>11</v>
      </c>
      <c r="H31" s="51" t="s">
        <v>11</v>
      </c>
      <c r="I31" s="25">
        <v>46367.26</v>
      </c>
      <c r="J31" s="30">
        <v>0</v>
      </c>
      <c r="K31" s="49" t="s">
        <v>57</v>
      </c>
      <c r="L31" s="1"/>
    </row>
    <row r="32" spans="1:12" ht="30" customHeight="1" x14ac:dyDescent="0.3">
      <c r="A32" s="54"/>
      <c r="B32" s="52"/>
      <c r="C32" s="29">
        <v>45658</v>
      </c>
      <c r="D32" s="29" t="s">
        <v>66</v>
      </c>
      <c r="E32" s="52"/>
      <c r="F32" s="52"/>
      <c r="G32" s="52"/>
      <c r="H32" s="52"/>
      <c r="I32" s="25">
        <v>126725.16</v>
      </c>
      <c r="J32" s="30">
        <v>0</v>
      </c>
      <c r="K32" s="50"/>
      <c r="L32" s="1"/>
    </row>
    <row r="33" spans="1:12" ht="30" customHeight="1" x14ac:dyDescent="0.3">
      <c r="A33" s="53" t="s">
        <v>86</v>
      </c>
      <c r="B33" s="51" t="s">
        <v>52</v>
      </c>
      <c r="C33" s="29">
        <v>45566</v>
      </c>
      <c r="D33" s="29">
        <v>45657</v>
      </c>
      <c r="E33" s="51" t="s">
        <v>53</v>
      </c>
      <c r="F33" s="51" t="s">
        <v>11</v>
      </c>
      <c r="G33" s="51" t="s">
        <v>11</v>
      </c>
      <c r="H33" s="51" t="s">
        <v>11</v>
      </c>
      <c r="I33" s="25">
        <v>23910.38</v>
      </c>
      <c r="J33" s="30">
        <v>0</v>
      </c>
      <c r="K33" s="49" t="s">
        <v>57</v>
      </c>
      <c r="L33" s="1"/>
    </row>
    <row r="34" spans="1:12" ht="30" customHeight="1" x14ac:dyDescent="0.3">
      <c r="A34" s="54"/>
      <c r="B34" s="52"/>
      <c r="C34" s="29">
        <v>45658</v>
      </c>
      <c r="D34" s="29" t="s">
        <v>66</v>
      </c>
      <c r="E34" s="52"/>
      <c r="F34" s="52"/>
      <c r="G34" s="52"/>
      <c r="H34" s="52"/>
      <c r="I34" s="25">
        <v>67039.55</v>
      </c>
      <c r="J34" s="30">
        <v>0</v>
      </c>
      <c r="K34" s="50"/>
      <c r="L34" s="1"/>
    </row>
    <row r="35" spans="1:12" ht="30" customHeight="1" x14ac:dyDescent="0.3">
      <c r="A35" s="53" t="s">
        <v>86</v>
      </c>
      <c r="B35" s="51" t="s">
        <v>54</v>
      </c>
      <c r="C35" s="29">
        <v>45566</v>
      </c>
      <c r="D35" s="29">
        <v>45657</v>
      </c>
      <c r="E35" s="51" t="s">
        <v>67</v>
      </c>
      <c r="F35" s="51" t="s">
        <v>11</v>
      </c>
      <c r="G35" s="51" t="s">
        <v>11</v>
      </c>
      <c r="H35" s="51" t="s">
        <v>11</v>
      </c>
      <c r="I35" s="25">
        <v>19854.25</v>
      </c>
      <c r="J35" s="30">
        <v>0</v>
      </c>
      <c r="K35" s="49" t="s">
        <v>57</v>
      </c>
      <c r="L35" s="1"/>
    </row>
    <row r="36" spans="1:12" ht="30" customHeight="1" x14ac:dyDescent="0.3">
      <c r="A36" s="54"/>
      <c r="B36" s="52"/>
      <c r="C36" s="29">
        <v>45658</v>
      </c>
      <c r="D36" s="29" t="s">
        <v>66</v>
      </c>
      <c r="E36" s="52"/>
      <c r="F36" s="52"/>
      <c r="G36" s="52"/>
      <c r="H36" s="52"/>
      <c r="I36" s="25">
        <v>55052.74</v>
      </c>
      <c r="J36" s="30">
        <v>0</v>
      </c>
      <c r="K36" s="50"/>
      <c r="L36" s="1"/>
    </row>
    <row r="37" spans="1:12" ht="30" customHeight="1" x14ac:dyDescent="0.3">
      <c r="A37" s="53" t="s">
        <v>86</v>
      </c>
      <c r="B37" s="51" t="s">
        <v>55</v>
      </c>
      <c r="C37" s="29">
        <v>45566</v>
      </c>
      <c r="D37" s="29">
        <v>45657</v>
      </c>
      <c r="E37" s="51" t="s">
        <v>56</v>
      </c>
      <c r="F37" s="51" t="s">
        <v>11</v>
      </c>
      <c r="G37" s="51" t="s">
        <v>11</v>
      </c>
      <c r="H37" s="51" t="s">
        <v>11</v>
      </c>
      <c r="I37" s="25">
        <v>5633.24</v>
      </c>
      <c r="J37" s="30">
        <v>0</v>
      </c>
      <c r="K37" s="49" t="s">
        <v>57</v>
      </c>
      <c r="L37" s="1"/>
    </row>
    <row r="38" spans="1:12" ht="30" customHeight="1" x14ac:dyDescent="0.3">
      <c r="A38" s="54"/>
      <c r="B38" s="52"/>
      <c r="C38" s="29">
        <v>45658</v>
      </c>
      <c r="D38" s="29" t="s">
        <v>66</v>
      </c>
      <c r="E38" s="52"/>
      <c r="F38" s="52"/>
      <c r="G38" s="52"/>
      <c r="H38" s="52"/>
      <c r="I38" s="25">
        <v>15551.09</v>
      </c>
      <c r="J38" s="30">
        <v>0</v>
      </c>
      <c r="K38" s="50"/>
      <c r="L38" s="1"/>
    </row>
    <row r="39" spans="1:12" ht="15.6" x14ac:dyDescent="0.3">
      <c r="A39" s="12"/>
      <c r="B39" s="13"/>
      <c r="C39" s="14"/>
      <c r="D39" s="14"/>
      <c r="E39" s="13"/>
      <c r="F39" s="15"/>
      <c r="G39" s="15"/>
      <c r="H39" s="15"/>
      <c r="I39" s="19"/>
      <c r="J39" s="20"/>
      <c r="K39" s="16"/>
      <c r="L39" s="1"/>
    </row>
    <row r="40" spans="1:12" ht="15.6" x14ac:dyDescent="0.3">
      <c r="A40" s="12"/>
      <c r="B40" s="13"/>
      <c r="C40" s="14"/>
      <c r="D40" s="14"/>
      <c r="E40" s="13"/>
      <c r="F40" s="15"/>
      <c r="G40" s="15"/>
      <c r="H40" s="15"/>
      <c r="I40" s="19"/>
      <c r="J40" s="20"/>
      <c r="K40" s="16"/>
      <c r="L40" s="1"/>
    </row>
    <row r="41" spans="1:12" ht="15.6" x14ac:dyDescent="0.3">
      <c r="A41" s="12"/>
      <c r="B41" s="13"/>
      <c r="C41" s="14"/>
      <c r="D41" s="14"/>
      <c r="E41" s="13"/>
      <c r="F41" s="15"/>
      <c r="G41" s="15"/>
      <c r="H41" s="15"/>
      <c r="I41" s="19"/>
      <c r="J41" s="20"/>
      <c r="K41" s="16"/>
      <c r="L41" s="1"/>
    </row>
    <row r="42" spans="1:12" ht="15.6" x14ac:dyDescent="0.3">
      <c r="A42" s="12"/>
      <c r="B42" s="13"/>
      <c r="C42" s="14"/>
      <c r="D42" s="14"/>
      <c r="E42" s="13"/>
      <c r="F42" s="15"/>
      <c r="G42" s="15"/>
      <c r="H42" s="15"/>
      <c r="I42" s="19"/>
      <c r="J42" s="20"/>
      <c r="K42" s="16"/>
      <c r="L42" s="1"/>
    </row>
    <row r="43" spans="1:12" ht="15.6" x14ac:dyDescent="0.3">
      <c r="A43" s="12"/>
      <c r="B43" s="13"/>
      <c r="C43" s="14"/>
      <c r="D43" s="14"/>
      <c r="E43" s="13"/>
      <c r="F43" s="15"/>
      <c r="G43" s="15"/>
      <c r="H43" s="15"/>
      <c r="I43" s="19"/>
      <c r="J43" s="20"/>
      <c r="K43" s="16"/>
      <c r="L43" s="1"/>
    </row>
    <row r="44" spans="1:12" ht="15.6" x14ac:dyDescent="0.3">
      <c r="A44" s="12"/>
      <c r="B44" s="13"/>
      <c r="C44" s="14"/>
      <c r="D44" s="14"/>
      <c r="E44" s="13"/>
      <c r="F44" s="15"/>
      <c r="G44" s="15"/>
      <c r="H44" s="15"/>
      <c r="I44" s="19"/>
      <c r="J44" s="20"/>
      <c r="K44" s="16"/>
      <c r="L44" s="1"/>
    </row>
    <row r="45" spans="1:12" ht="15.6" x14ac:dyDescent="0.3">
      <c r="A45" s="12"/>
      <c r="B45" s="13"/>
      <c r="C45" s="14"/>
      <c r="D45" s="14"/>
      <c r="E45" s="13"/>
      <c r="F45" s="15"/>
      <c r="G45" s="15"/>
      <c r="H45" s="15"/>
      <c r="I45" s="19"/>
      <c r="J45" s="20"/>
      <c r="K45" s="16"/>
      <c r="L45" s="1"/>
    </row>
    <row r="46" spans="1:12" ht="15.6" x14ac:dyDescent="0.3">
      <c r="A46" s="12"/>
      <c r="B46" s="13"/>
      <c r="C46" s="14"/>
      <c r="D46" s="14"/>
      <c r="E46" s="13"/>
      <c r="F46" s="15"/>
      <c r="G46" s="15"/>
      <c r="H46" s="15"/>
      <c r="I46" s="19"/>
      <c r="J46" s="20"/>
      <c r="K46" s="16"/>
      <c r="L46" s="1"/>
    </row>
    <row r="47" spans="1:12" ht="15.6" x14ac:dyDescent="0.3">
      <c r="A47" s="12"/>
      <c r="B47" s="13"/>
      <c r="C47" s="14"/>
      <c r="D47" s="14"/>
      <c r="E47" s="13"/>
      <c r="F47" s="15"/>
      <c r="G47" s="15"/>
      <c r="H47" s="15"/>
      <c r="I47" s="19"/>
      <c r="J47" s="20"/>
      <c r="K47" s="16"/>
      <c r="L47" s="1"/>
    </row>
    <row r="48" spans="1:12" ht="15.6" x14ac:dyDescent="0.3">
      <c r="A48" s="12"/>
      <c r="B48" s="13"/>
      <c r="C48" s="14"/>
      <c r="D48" s="14"/>
      <c r="E48" s="13"/>
      <c r="F48" s="15"/>
      <c r="G48" s="15"/>
      <c r="H48" s="15"/>
      <c r="I48" s="19"/>
      <c r="J48" s="20"/>
      <c r="K48" s="16"/>
      <c r="L48" s="1"/>
    </row>
    <row r="49" spans="1:12" ht="15.6" x14ac:dyDescent="0.3">
      <c r="A49" s="12"/>
      <c r="B49" s="13"/>
      <c r="C49" s="14"/>
      <c r="D49" s="14"/>
      <c r="E49" s="13"/>
      <c r="F49" s="15"/>
      <c r="G49" s="15"/>
      <c r="H49" s="15"/>
      <c r="I49" s="19"/>
      <c r="J49" s="20"/>
      <c r="K49" s="16"/>
      <c r="L49" s="1"/>
    </row>
    <row r="50" spans="1:12" ht="15.6" x14ac:dyDescent="0.3">
      <c r="A50" s="12"/>
      <c r="B50" s="13"/>
      <c r="C50" s="14"/>
      <c r="D50" s="14"/>
      <c r="E50" s="13"/>
      <c r="F50" s="15"/>
      <c r="G50" s="15"/>
      <c r="H50" s="15"/>
      <c r="I50" s="19"/>
      <c r="J50" s="20"/>
      <c r="K50" s="16"/>
      <c r="L50" s="1"/>
    </row>
    <row r="51" spans="1:12" ht="15.6" x14ac:dyDescent="0.3">
      <c r="A51" s="12"/>
      <c r="B51" s="13"/>
      <c r="C51" s="14"/>
      <c r="D51" s="14"/>
      <c r="E51" s="13"/>
      <c r="F51" s="15"/>
      <c r="G51" s="15"/>
      <c r="H51" s="15"/>
      <c r="I51" s="19"/>
      <c r="J51" s="20"/>
      <c r="K51" s="16"/>
      <c r="L51" s="1"/>
    </row>
    <row r="52" spans="1:12" ht="15.6" x14ac:dyDescent="0.3">
      <c r="A52" s="12"/>
      <c r="B52" s="13"/>
      <c r="C52" s="14"/>
      <c r="D52" s="14"/>
      <c r="E52" s="13"/>
      <c r="F52" s="15"/>
      <c r="G52" s="15"/>
      <c r="H52" s="15"/>
      <c r="I52" s="19"/>
      <c r="J52" s="20"/>
      <c r="K52" s="16"/>
      <c r="L52" s="1"/>
    </row>
    <row r="53" spans="1:12" ht="15.6" x14ac:dyDescent="0.3">
      <c r="A53" s="12"/>
      <c r="B53" s="13"/>
      <c r="C53" s="14"/>
      <c r="D53" s="14"/>
      <c r="E53" s="13"/>
      <c r="F53" s="15"/>
      <c r="G53" s="15"/>
      <c r="H53" s="15"/>
      <c r="I53" s="19"/>
      <c r="J53" s="20"/>
      <c r="K53" s="16"/>
      <c r="L53" s="1"/>
    </row>
    <row r="54" spans="1:12" ht="15.6" x14ac:dyDescent="0.3">
      <c r="A54" s="12"/>
      <c r="B54" s="13"/>
      <c r="C54" s="14"/>
      <c r="D54" s="14"/>
      <c r="E54" s="13"/>
      <c r="F54" s="15"/>
      <c r="G54" s="15"/>
      <c r="H54" s="15"/>
      <c r="I54" s="19"/>
      <c r="J54" s="20"/>
      <c r="K54" s="16"/>
      <c r="L54" s="1"/>
    </row>
    <row r="55" spans="1:12" ht="15.6" x14ac:dyDescent="0.3">
      <c r="A55" s="12"/>
      <c r="B55" s="13"/>
      <c r="C55" s="14"/>
      <c r="D55" s="14"/>
      <c r="E55" s="13"/>
      <c r="F55" s="15"/>
      <c r="G55" s="15"/>
      <c r="H55" s="15"/>
      <c r="I55" s="19"/>
      <c r="J55" s="20"/>
      <c r="K55" s="16"/>
      <c r="L55" s="1"/>
    </row>
    <row r="56" spans="1:12" ht="15.6" x14ac:dyDescent="0.3">
      <c r="A56" s="12"/>
      <c r="B56" s="13"/>
      <c r="C56" s="14"/>
      <c r="D56" s="14"/>
      <c r="E56" s="13"/>
      <c r="F56" s="15"/>
      <c r="G56" s="15"/>
      <c r="H56" s="15"/>
      <c r="I56" s="19"/>
      <c r="J56" s="20"/>
      <c r="K56" s="16"/>
      <c r="L56" s="1"/>
    </row>
    <row r="57" spans="1:12" ht="15.6" x14ac:dyDescent="0.3">
      <c r="A57" s="12"/>
      <c r="B57" s="13"/>
      <c r="C57" s="14"/>
      <c r="D57" s="14"/>
      <c r="E57" s="13"/>
      <c r="F57" s="15"/>
      <c r="G57" s="15"/>
      <c r="H57" s="15"/>
      <c r="I57" s="19"/>
      <c r="J57" s="20"/>
      <c r="K57" s="16"/>
      <c r="L57" s="1"/>
    </row>
    <row r="58" spans="1:12" ht="15.6" x14ac:dyDescent="0.3">
      <c r="A58" s="12"/>
      <c r="B58" s="13"/>
      <c r="C58" s="14"/>
      <c r="D58" s="14"/>
      <c r="E58" s="13"/>
      <c r="F58" s="15"/>
      <c r="G58" s="15"/>
      <c r="H58" s="15"/>
      <c r="I58" s="19"/>
      <c r="J58" s="20"/>
      <c r="K58" s="16"/>
      <c r="L58" s="1"/>
    </row>
    <row r="59" spans="1:12" ht="15.6" x14ac:dyDescent="0.3">
      <c r="A59" s="12"/>
      <c r="B59" s="13"/>
      <c r="C59" s="14"/>
      <c r="D59" s="14"/>
      <c r="E59" s="13"/>
      <c r="F59" s="15"/>
      <c r="G59" s="15"/>
      <c r="H59" s="15"/>
      <c r="I59" s="19"/>
      <c r="J59" s="20"/>
      <c r="K59" s="16"/>
      <c r="L59" s="1"/>
    </row>
    <row r="60" spans="1:12" ht="15" thickBot="1" x14ac:dyDescent="0.35">
      <c r="A60" s="7"/>
      <c r="B60" s="18"/>
      <c r="C60" s="2"/>
      <c r="D60" s="2"/>
      <c r="E60" s="2"/>
      <c r="F60" s="5"/>
      <c r="G60" s="5"/>
      <c r="H60" s="5"/>
      <c r="I60" s="21"/>
      <c r="J60" s="22"/>
      <c r="K60" s="11"/>
    </row>
    <row r="61" spans="1:12" x14ac:dyDescent="0.3">
      <c r="A61" s="6"/>
      <c r="B61" s="17"/>
    </row>
    <row r="62" spans="1:12" x14ac:dyDescent="0.3">
      <c r="B62" s="17"/>
    </row>
  </sheetData>
  <mergeCells count="78">
    <mergeCell ref="C1:K8"/>
    <mergeCell ref="A1:B8"/>
    <mergeCell ref="A13:A14"/>
    <mergeCell ref="B13:B14"/>
    <mergeCell ref="E13:E14"/>
    <mergeCell ref="K13:K14"/>
    <mergeCell ref="F10:F12"/>
    <mergeCell ref="G10:G12"/>
    <mergeCell ref="H10:H12"/>
    <mergeCell ref="F13:F14"/>
    <mergeCell ref="G13:G14"/>
    <mergeCell ref="H13:H14"/>
    <mergeCell ref="A10:A12"/>
    <mergeCell ref="B10:B12"/>
    <mergeCell ref="E10:E12"/>
    <mergeCell ref="K10:K12"/>
    <mergeCell ref="H15:H16"/>
    <mergeCell ref="K15:K16"/>
    <mergeCell ref="A19:A20"/>
    <mergeCell ref="B19:B20"/>
    <mergeCell ref="E19:E20"/>
    <mergeCell ref="F19:F20"/>
    <mergeCell ref="G19:G20"/>
    <mergeCell ref="H19:H20"/>
    <mergeCell ref="K19:K20"/>
    <mergeCell ref="A15:A16"/>
    <mergeCell ref="B15:B16"/>
    <mergeCell ref="E15:E16"/>
    <mergeCell ref="F15:F16"/>
    <mergeCell ref="G15:G16"/>
    <mergeCell ref="H21:H22"/>
    <mergeCell ref="K21:K22"/>
    <mergeCell ref="A23:A24"/>
    <mergeCell ref="B23:B24"/>
    <mergeCell ref="E23:E24"/>
    <mergeCell ref="F23:F24"/>
    <mergeCell ref="G23:G24"/>
    <mergeCell ref="H23:H24"/>
    <mergeCell ref="A21:A22"/>
    <mergeCell ref="B21:B22"/>
    <mergeCell ref="E21:E22"/>
    <mergeCell ref="F21:F22"/>
    <mergeCell ref="G21:G22"/>
    <mergeCell ref="H29:H30"/>
    <mergeCell ref="K29:K30"/>
    <mergeCell ref="A31:A32"/>
    <mergeCell ref="A33:A34"/>
    <mergeCell ref="A35:A36"/>
    <mergeCell ref="E31:E32"/>
    <mergeCell ref="E33:E34"/>
    <mergeCell ref="E35:E36"/>
    <mergeCell ref="K31:K32"/>
    <mergeCell ref="K33:K34"/>
    <mergeCell ref="K35:K36"/>
    <mergeCell ref="A29:A30"/>
    <mergeCell ref="B29:B30"/>
    <mergeCell ref="E29:E30"/>
    <mergeCell ref="F29:F30"/>
    <mergeCell ref="G29:G30"/>
    <mergeCell ref="A37:A38"/>
    <mergeCell ref="B31:B32"/>
    <mergeCell ref="B33:B34"/>
    <mergeCell ref="B35:B36"/>
    <mergeCell ref="B37:B38"/>
    <mergeCell ref="K37:K38"/>
    <mergeCell ref="E37:E38"/>
    <mergeCell ref="F31:F32"/>
    <mergeCell ref="G31:G32"/>
    <mergeCell ref="H31:H32"/>
    <mergeCell ref="F33:F34"/>
    <mergeCell ref="G33:G34"/>
    <mergeCell ref="H33:H34"/>
    <mergeCell ref="F35:F36"/>
    <mergeCell ref="G35:G36"/>
    <mergeCell ref="H35:H36"/>
    <mergeCell ref="F37:F38"/>
    <mergeCell ref="G37:G38"/>
    <mergeCell ref="H37:H38"/>
  </mergeCells>
  <phoneticPr fontId="6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D4451B-27C1-43D1-AFB5-6C612CA21E3A}">
          <x14:formula1>
            <xm:f>Arkusz1!$B$3:$B$4</xm:f>
          </x14:formula1>
          <xm:sqref>F10:H10 F13:H13 F17:H19 F21:H21 F23:H23 F15:H15 F25:H29 F31:H31 F33:H33 F35:H35 F37:H37 F39:H62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3C640-EF54-451D-BF58-15F1D97C7381}">
  <dimension ref="A1:A12"/>
  <sheetViews>
    <sheetView workbookViewId="0">
      <selection activeCell="A24" sqref="A24"/>
    </sheetView>
  </sheetViews>
  <sheetFormatPr defaultRowHeight="14.4" x14ac:dyDescent="0.3"/>
  <cols>
    <col min="1" max="1" width="57.6640625" bestFit="1" customWidth="1"/>
  </cols>
  <sheetData>
    <row r="1" spans="1:1" ht="14.4" customHeight="1" x14ac:dyDescent="0.3">
      <c r="A1" s="34" t="s">
        <v>18</v>
      </c>
    </row>
    <row r="2" spans="1:1" ht="14.4" customHeight="1" x14ac:dyDescent="0.3">
      <c r="A2" s="34" t="s">
        <v>22</v>
      </c>
    </row>
    <row r="3" spans="1:1" ht="43.2" x14ac:dyDescent="0.3">
      <c r="A3" s="26" t="s">
        <v>27</v>
      </c>
    </row>
    <row r="4" spans="1:1" x14ac:dyDescent="0.3">
      <c r="A4" s="26" t="s">
        <v>28</v>
      </c>
    </row>
    <row r="5" spans="1:1" ht="14.4" customHeight="1" x14ac:dyDescent="0.3">
      <c r="A5" s="35" t="s">
        <v>30</v>
      </c>
    </row>
    <row r="6" spans="1:1" ht="14.4" customHeight="1" x14ac:dyDescent="0.3">
      <c r="A6" s="35" t="s">
        <v>39</v>
      </c>
    </row>
    <row r="7" spans="1:1" ht="14.4" customHeight="1" x14ac:dyDescent="0.3">
      <c r="A7" s="35" t="s">
        <v>40</v>
      </c>
    </row>
    <row r="8" spans="1:1" x14ac:dyDescent="0.3">
      <c r="A8" s="32" t="s">
        <v>43</v>
      </c>
    </row>
    <row r="9" spans="1:1" x14ac:dyDescent="0.3">
      <c r="A9" s="32" t="s">
        <v>86</v>
      </c>
    </row>
    <row r="10" spans="1:1" ht="14.4" customHeight="1" x14ac:dyDescent="0.3">
      <c r="A10" s="46"/>
    </row>
    <row r="11" spans="1:1" ht="14.4" customHeight="1" x14ac:dyDescent="0.3"/>
    <row r="12" spans="1:1" ht="14.4" customHeight="1" x14ac:dyDescent="0.3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589D7-5677-47A1-A8D1-EEA8D9DDE284}">
  <dimension ref="B1:T31"/>
  <sheetViews>
    <sheetView topLeftCell="J2" zoomScaleNormal="100" workbookViewId="0">
      <selection activeCell="M5" sqref="M5"/>
    </sheetView>
  </sheetViews>
  <sheetFormatPr defaultRowHeight="14.4" x14ac:dyDescent="0.3"/>
  <cols>
    <col min="2" max="2" width="57.6640625" bestFit="1" customWidth="1"/>
    <col min="3" max="3" width="9.109375" bestFit="1" customWidth="1"/>
    <col min="4" max="4" width="10.109375" bestFit="1" customWidth="1"/>
    <col min="6" max="6" width="9.88671875" bestFit="1" customWidth="1"/>
    <col min="8" max="8" width="5.5546875" bestFit="1" customWidth="1"/>
    <col min="9" max="9" width="13.109375" bestFit="1" customWidth="1"/>
    <col min="10" max="10" width="20" bestFit="1" customWidth="1"/>
    <col min="11" max="11" width="14.44140625" bestFit="1" customWidth="1"/>
    <col min="12" max="12" width="22.77734375" bestFit="1" customWidth="1"/>
    <col min="13" max="13" width="13.109375" bestFit="1" customWidth="1"/>
    <col min="14" max="14" width="11.5546875" bestFit="1" customWidth="1"/>
    <col min="16" max="20" width="14.44140625" bestFit="1" customWidth="1"/>
  </cols>
  <sheetData>
    <row r="1" spans="2:20" ht="15" thickBot="1" x14ac:dyDescent="0.35"/>
    <row r="2" spans="2:20" ht="105" x14ac:dyDescent="0.3">
      <c r="B2" s="3" t="s">
        <v>1</v>
      </c>
      <c r="C2" s="8" t="s">
        <v>3</v>
      </c>
      <c r="D2" s="8" t="s">
        <v>4</v>
      </c>
      <c r="E2" s="36" t="s">
        <v>68</v>
      </c>
      <c r="G2" s="36" t="s">
        <v>83</v>
      </c>
      <c r="J2" t="s">
        <v>70</v>
      </c>
      <c r="K2" t="s">
        <v>82</v>
      </c>
      <c r="L2" t="s">
        <v>90</v>
      </c>
      <c r="M2" t="s">
        <v>88</v>
      </c>
    </row>
    <row r="3" spans="2:20" x14ac:dyDescent="0.3">
      <c r="B3" s="79" t="s">
        <v>15</v>
      </c>
      <c r="C3" s="14">
        <v>45108</v>
      </c>
      <c r="D3" s="14">
        <v>45291</v>
      </c>
      <c r="E3">
        <f>YEAR(D3)</f>
        <v>2023</v>
      </c>
      <c r="F3" s="19">
        <v>115241.18</v>
      </c>
      <c r="H3">
        <v>2023</v>
      </c>
      <c r="I3" s="37">
        <f>SUMIF(E3:E31,H3,F3:F31)</f>
        <v>720989.37999999989</v>
      </c>
      <c r="J3" s="37">
        <f>I3*2</f>
        <v>1441978.7599999998</v>
      </c>
      <c r="L3">
        <v>11872494</v>
      </c>
      <c r="M3" s="47">
        <f>J3*19%</f>
        <v>273975.96439999994</v>
      </c>
      <c r="P3" s="84" t="s">
        <v>80</v>
      </c>
      <c r="Q3" s="84"/>
      <c r="R3" s="84"/>
      <c r="S3" s="84"/>
      <c r="T3" s="84"/>
    </row>
    <row r="4" spans="2:20" x14ac:dyDescent="0.3">
      <c r="B4" s="80"/>
      <c r="C4" s="14">
        <v>45292</v>
      </c>
      <c r="D4" s="14">
        <v>45657</v>
      </c>
      <c r="E4">
        <f t="shared" ref="E4:E30" si="0">YEAR(D4)</f>
        <v>2024</v>
      </c>
      <c r="F4" s="19">
        <v>345240.1</v>
      </c>
      <c r="H4">
        <v>2024</v>
      </c>
      <c r="I4" s="37">
        <f>SUMIF(E3:E31,H4,F3:F31)</f>
        <v>1012459.5599999999</v>
      </c>
      <c r="J4" s="37">
        <f t="shared" ref="J4:J5" si="1">I4*2</f>
        <v>2024919.1199999999</v>
      </c>
      <c r="L4">
        <v>1017205</v>
      </c>
      <c r="M4" s="48">
        <v>193268.95</v>
      </c>
      <c r="P4" s="39">
        <v>2024</v>
      </c>
      <c r="Q4" s="40">
        <v>2023</v>
      </c>
      <c r="R4" s="40">
        <v>2022</v>
      </c>
      <c r="S4" s="40">
        <v>2021</v>
      </c>
      <c r="T4" s="41">
        <v>2020</v>
      </c>
    </row>
    <row r="5" spans="2:20" x14ac:dyDescent="0.3">
      <c r="B5" s="81"/>
      <c r="C5" s="14">
        <v>45658</v>
      </c>
      <c r="D5" s="14">
        <v>45838</v>
      </c>
      <c r="E5">
        <f t="shared" si="0"/>
        <v>2025</v>
      </c>
      <c r="F5" s="19">
        <v>70236.850000000006</v>
      </c>
      <c r="G5" s="45">
        <f>F5</f>
        <v>70236.850000000006</v>
      </c>
      <c r="H5">
        <v>2025</v>
      </c>
      <c r="I5" s="37">
        <f>SUMIF(E3:E31,H5,F3:F31)</f>
        <v>635951.4800000001</v>
      </c>
      <c r="J5" s="37">
        <f t="shared" si="1"/>
        <v>1271902.9600000002</v>
      </c>
      <c r="K5" s="37">
        <f>SUM(G3:G31)*2</f>
        <v>1720588.7366666666</v>
      </c>
      <c r="L5" s="47" t="s">
        <v>91</v>
      </c>
      <c r="M5" s="47">
        <f>J4-L4</f>
        <v>1007714.1199999999</v>
      </c>
      <c r="P5" s="43">
        <v>270122.53999999998</v>
      </c>
      <c r="Q5" s="43">
        <v>1631946.66</v>
      </c>
      <c r="R5" s="43">
        <v>456619</v>
      </c>
      <c r="S5" s="43">
        <v>422658</v>
      </c>
      <c r="T5" s="43">
        <v>1532941</v>
      </c>
    </row>
    <row r="6" spans="2:20" x14ac:dyDescent="0.3">
      <c r="B6" s="61" t="s">
        <v>18</v>
      </c>
      <c r="C6" s="14">
        <v>44927</v>
      </c>
      <c r="D6" s="14">
        <v>45291</v>
      </c>
      <c r="E6">
        <f t="shared" si="0"/>
        <v>2023</v>
      </c>
      <c r="F6" s="19">
        <v>291356.96999999997</v>
      </c>
      <c r="H6" t="s">
        <v>69</v>
      </c>
      <c r="I6" s="37">
        <f>I3+I4+I5</f>
        <v>2369400.42</v>
      </c>
      <c r="M6" s="37">
        <f>M3+M4</f>
        <v>467244.91439999995</v>
      </c>
      <c r="O6" t="s">
        <v>81</v>
      </c>
      <c r="P6" s="44">
        <f>P5/19*100</f>
        <v>1421697.5789473683</v>
      </c>
      <c r="Q6" s="44">
        <f t="shared" ref="Q6:T6" si="2">Q5/19*100</f>
        <v>8589192.9473684207</v>
      </c>
      <c r="R6" s="44">
        <f t="shared" si="2"/>
        <v>2403257.8947368418</v>
      </c>
      <c r="S6" s="44">
        <f t="shared" si="2"/>
        <v>2224515.7894736845</v>
      </c>
      <c r="T6" s="44">
        <f t="shared" si="2"/>
        <v>8068110.5263157897</v>
      </c>
    </row>
    <row r="7" spans="2:20" x14ac:dyDescent="0.3">
      <c r="B7" s="62"/>
      <c r="C7" s="14">
        <v>45292</v>
      </c>
      <c r="D7" s="14">
        <v>45657</v>
      </c>
      <c r="E7">
        <f t="shared" si="0"/>
        <v>2024</v>
      </c>
      <c r="F7" s="19">
        <v>250041.94</v>
      </c>
      <c r="K7" t="s">
        <v>85</v>
      </c>
      <c r="M7" s="37">
        <f>N13*6</f>
        <v>1771921.3281299998</v>
      </c>
    </row>
    <row r="8" spans="2:20" x14ac:dyDescent="0.3">
      <c r="B8" s="61" t="s">
        <v>22</v>
      </c>
      <c r="C8" s="14">
        <v>44927</v>
      </c>
      <c r="D8" s="14">
        <v>45291</v>
      </c>
      <c r="E8">
        <f t="shared" si="0"/>
        <v>2023</v>
      </c>
      <c r="F8" s="19">
        <v>145546.43</v>
      </c>
      <c r="K8" t="s">
        <v>89</v>
      </c>
      <c r="M8" s="37">
        <f>M6+M7</f>
        <v>2239166.2425299999</v>
      </c>
    </row>
    <row r="9" spans="2:20" x14ac:dyDescent="0.3">
      <c r="B9" s="62"/>
      <c r="C9" s="14">
        <v>45292</v>
      </c>
      <c r="D9" s="14">
        <v>45580</v>
      </c>
      <c r="E9">
        <f t="shared" si="0"/>
        <v>2024</v>
      </c>
      <c r="F9" s="19">
        <v>122447.48</v>
      </c>
    </row>
    <row r="10" spans="2:20" x14ac:dyDescent="0.3">
      <c r="B10" s="26" t="s">
        <v>27</v>
      </c>
      <c r="C10" s="14">
        <v>44927</v>
      </c>
      <c r="D10" s="14">
        <v>45291</v>
      </c>
      <c r="E10">
        <f t="shared" si="0"/>
        <v>2023</v>
      </c>
      <c r="F10" s="19">
        <v>121661.59</v>
      </c>
    </row>
    <row r="11" spans="2:20" x14ac:dyDescent="0.3">
      <c r="B11" s="26" t="s">
        <v>28</v>
      </c>
      <c r="C11" s="14">
        <v>44927</v>
      </c>
      <c r="D11" s="14">
        <v>45291</v>
      </c>
      <c r="E11">
        <f t="shared" si="0"/>
        <v>2023</v>
      </c>
      <c r="F11" s="19">
        <v>47183.21</v>
      </c>
      <c r="J11" t="s">
        <v>84</v>
      </c>
      <c r="K11" t="s">
        <v>85</v>
      </c>
    </row>
    <row r="12" spans="2:20" x14ac:dyDescent="0.3">
      <c r="B12" s="53" t="s">
        <v>30</v>
      </c>
      <c r="C12" s="29">
        <v>45444</v>
      </c>
      <c r="D12" s="29">
        <v>45657</v>
      </c>
      <c r="E12">
        <f t="shared" si="0"/>
        <v>2024</v>
      </c>
      <c r="F12" s="25">
        <v>102062.83</v>
      </c>
      <c r="J12" s="37">
        <f>(J3+J4)*19%</f>
        <v>658710.59719999996</v>
      </c>
      <c r="M12" s="37">
        <f>J12/2</f>
        <v>329355.29859999998</v>
      </c>
      <c r="N12" s="37">
        <f>K5*19%</f>
        <v>326911.85996666667</v>
      </c>
      <c r="Q12" t="s">
        <v>87</v>
      </c>
    </row>
    <row r="13" spans="2:20" x14ac:dyDescent="0.3">
      <c r="B13" s="54"/>
      <c r="C13" s="29">
        <v>45658</v>
      </c>
      <c r="D13" s="29">
        <v>45869</v>
      </c>
      <c r="E13">
        <f t="shared" si="0"/>
        <v>2025</v>
      </c>
      <c r="F13" s="25">
        <v>74596.490000000005</v>
      </c>
      <c r="G13" s="45">
        <f>F13</f>
        <v>74596.490000000005</v>
      </c>
      <c r="J13" s="37">
        <f>J12*20%</f>
        <v>131742.11944000001</v>
      </c>
      <c r="N13" s="37">
        <f>AVERAGE(M12:N12)*90%</f>
        <v>295320.22135499999</v>
      </c>
      <c r="Q13" s="37">
        <f>J3+J4</f>
        <v>3466897.88</v>
      </c>
    </row>
    <row r="14" spans="2:20" x14ac:dyDescent="0.3">
      <c r="B14" s="53" t="s">
        <v>39</v>
      </c>
      <c r="C14" s="29">
        <v>45597</v>
      </c>
      <c r="D14" s="29">
        <v>45657</v>
      </c>
      <c r="E14">
        <f t="shared" si="0"/>
        <v>2024</v>
      </c>
      <c r="F14" s="25">
        <v>41627.870000000003</v>
      </c>
      <c r="J14" s="37">
        <f>J12*1%</f>
        <v>6587.1059719999994</v>
      </c>
    </row>
    <row r="15" spans="2:20" ht="57.6" x14ac:dyDescent="0.3">
      <c r="B15" s="54"/>
      <c r="C15" s="29">
        <v>45658</v>
      </c>
      <c r="D15" s="29" t="s">
        <v>64</v>
      </c>
      <c r="E15">
        <v>2025</v>
      </c>
      <c r="F15" s="25">
        <v>46728.98</v>
      </c>
      <c r="G15">
        <f>F15/8*12</f>
        <v>70093.47</v>
      </c>
    </row>
    <row r="16" spans="2:20" x14ac:dyDescent="0.3">
      <c r="B16" s="53" t="s">
        <v>39</v>
      </c>
      <c r="C16" s="29">
        <v>45536</v>
      </c>
      <c r="D16" s="29">
        <v>45657</v>
      </c>
      <c r="E16">
        <f t="shared" si="0"/>
        <v>2024</v>
      </c>
      <c r="F16" s="25">
        <v>19828.73</v>
      </c>
      <c r="J16" t="s">
        <v>84</v>
      </c>
      <c r="K16" t="s">
        <v>85</v>
      </c>
    </row>
    <row r="17" spans="2:12" x14ac:dyDescent="0.3">
      <c r="B17" s="54"/>
      <c r="C17" s="29">
        <v>45658</v>
      </c>
      <c r="D17" s="29">
        <v>45838</v>
      </c>
      <c r="E17">
        <f t="shared" si="0"/>
        <v>2025</v>
      </c>
      <c r="F17" s="25">
        <v>33396.04</v>
      </c>
      <c r="G17" s="45">
        <f>F17</f>
        <v>33396.04</v>
      </c>
      <c r="J17" s="42">
        <v>658710.6</v>
      </c>
      <c r="K17" s="42">
        <v>1771921.33</v>
      </c>
      <c r="L17" s="42"/>
    </row>
    <row r="18" spans="2:12" ht="57.6" x14ac:dyDescent="0.3">
      <c r="B18" s="32" t="s">
        <v>39</v>
      </c>
      <c r="C18" s="29">
        <v>45870</v>
      </c>
      <c r="D18" s="29" t="s">
        <v>64</v>
      </c>
      <c r="E18">
        <v>2025</v>
      </c>
      <c r="F18" s="25">
        <v>6666.47</v>
      </c>
      <c r="G18">
        <f>F18*5</f>
        <v>33332.35</v>
      </c>
      <c r="J18" s="42">
        <v>2430631.9300000002</v>
      </c>
    </row>
    <row r="19" spans="2:12" x14ac:dyDescent="0.3">
      <c r="B19" s="32" t="s">
        <v>40</v>
      </c>
      <c r="C19" s="29">
        <v>45597</v>
      </c>
      <c r="D19" s="29">
        <v>45657</v>
      </c>
      <c r="E19">
        <f t="shared" si="0"/>
        <v>2024</v>
      </c>
      <c r="F19" s="25">
        <v>18545.75</v>
      </c>
    </row>
    <row r="20" spans="2:12" x14ac:dyDescent="0.3">
      <c r="B20" s="32" t="s">
        <v>43</v>
      </c>
      <c r="C20" s="29">
        <v>45658</v>
      </c>
      <c r="D20" s="29">
        <v>45716</v>
      </c>
      <c r="E20">
        <f t="shared" si="0"/>
        <v>2025</v>
      </c>
      <c r="F20" s="25">
        <v>36900</v>
      </c>
      <c r="G20" s="45">
        <f>F20</f>
        <v>36900</v>
      </c>
    </row>
    <row r="21" spans="2:12" ht="57.6" x14ac:dyDescent="0.3">
      <c r="B21" s="32" t="s">
        <v>43</v>
      </c>
      <c r="C21" s="29">
        <v>45809</v>
      </c>
      <c r="D21" s="29" t="s">
        <v>65</v>
      </c>
      <c r="E21">
        <v>2025</v>
      </c>
      <c r="F21" s="25">
        <v>56404.84</v>
      </c>
      <c r="G21">
        <f>F21/3*4</f>
        <v>75206.453333333324</v>
      </c>
    </row>
    <row r="22" spans="2:12" x14ac:dyDescent="0.3">
      <c r="B22" s="53" t="s">
        <v>58</v>
      </c>
      <c r="C22" s="29">
        <v>45566</v>
      </c>
      <c r="D22" s="29">
        <v>45657</v>
      </c>
      <c r="E22">
        <f t="shared" si="0"/>
        <v>2024</v>
      </c>
      <c r="F22" s="25">
        <v>16899.73</v>
      </c>
    </row>
    <row r="23" spans="2:12" ht="57.6" x14ac:dyDescent="0.3">
      <c r="B23" s="54"/>
      <c r="C23" s="29">
        <v>45658</v>
      </c>
      <c r="D23" s="29" t="s">
        <v>66</v>
      </c>
      <c r="E23">
        <v>2025</v>
      </c>
      <c r="F23" s="25">
        <v>46653.27</v>
      </c>
      <c r="G23">
        <f>F23/8*12</f>
        <v>69979.904999999999</v>
      </c>
    </row>
    <row r="24" spans="2:12" x14ac:dyDescent="0.3">
      <c r="B24" s="53" t="s">
        <v>59</v>
      </c>
      <c r="C24" s="29">
        <v>45566</v>
      </c>
      <c r="D24" s="29">
        <v>45657</v>
      </c>
      <c r="E24">
        <f t="shared" si="0"/>
        <v>2024</v>
      </c>
      <c r="F24" s="25">
        <v>46367.26</v>
      </c>
    </row>
    <row r="25" spans="2:12" ht="57.6" x14ac:dyDescent="0.3">
      <c r="B25" s="54"/>
      <c r="C25" s="29">
        <v>45658</v>
      </c>
      <c r="D25" s="29" t="s">
        <v>66</v>
      </c>
      <c r="E25">
        <v>2025</v>
      </c>
      <c r="F25" s="25">
        <v>126725.16</v>
      </c>
      <c r="G25">
        <f>F25/8*12</f>
        <v>190087.74</v>
      </c>
    </row>
    <row r="26" spans="2:12" x14ac:dyDescent="0.3">
      <c r="B26" s="53" t="s">
        <v>60</v>
      </c>
      <c r="C26" s="29">
        <v>45566</v>
      </c>
      <c r="D26" s="29">
        <v>45657</v>
      </c>
      <c r="E26">
        <f t="shared" si="0"/>
        <v>2024</v>
      </c>
      <c r="F26" s="25">
        <v>23910.38</v>
      </c>
    </row>
    <row r="27" spans="2:12" ht="57.6" x14ac:dyDescent="0.3">
      <c r="B27" s="54"/>
      <c r="C27" s="29">
        <v>45658</v>
      </c>
      <c r="D27" s="29" t="s">
        <v>66</v>
      </c>
      <c r="E27">
        <v>2025</v>
      </c>
      <c r="F27" s="25">
        <v>67039.55</v>
      </c>
      <c r="G27">
        <f>F27/8*12</f>
        <v>100559.32500000001</v>
      </c>
    </row>
    <row r="28" spans="2:12" x14ac:dyDescent="0.3">
      <c r="B28" s="53" t="s">
        <v>61</v>
      </c>
      <c r="C28" s="29">
        <v>45566</v>
      </c>
      <c r="D28" s="29">
        <v>45657</v>
      </c>
      <c r="E28">
        <f t="shared" si="0"/>
        <v>2024</v>
      </c>
      <c r="F28" s="25">
        <v>19854.25</v>
      </c>
    </row>
    <row r="29" spans="2:12" ht="57.6" x14ac:dyDescent="0.3">
      <c r="B29" s="54"/>
      <c r="C29" s="29">
        <v>45658</v>
      </c>
      <c r="D29" s="29" t="s">
        <v>66</v>
      </c>
      <c r="E29">
        <v>2025</v>
      </c>
      <c r="F29" s="25">
        <v>55052.74</v>
      </c>
      <c r="G29">
        <f>F29/8*12</f>
        <v>82579.11</v>
      </c>
    </row>
    <row r="30" spans="2:12" x14ac:dyDescent="0.3">
      <c r="B30" s="53" t="s">
        <v>62</v>
      </c>
      <c r="C30" s="29">
        <v>45566</v>
      </c>
      <c r="D30" s="29">
        <v>45657</v>
      </c>
      <c r="E30">
        <f t="shared" si="0"/>
        <v>2024</v>
      </c>
      <c r="F30" s="25">
        <v>5633.24</v>
      </c>
    </row>
    <row r="31" spans="2:12" ht="57.6" x14ac:dyDescent="0.3">
      <c r="B31" s="54"/>
      <c r="C31" s="29">
        <v>45658</v>
      </c>
      <c r="D31" s="29" t="s">
        <v>66</v>
      </c>
      <c r="E31">
        <v>2025</v>
      </c>
      <c r="F31" s="25">
        <v>15551.09</v>
      </c>
      <c r="G31">
        <f>F31/8*12</f>
        <v>23326.635000000002</v>
      </c>
    </row>
  </sheetData>
  <mergeCells count="12">
    <mergeCell ref="B16:B17"/>
    <mergeCell ref="P3:T3"/>
    <mergeCell ref="B3:B5"/>
    <mergeCell ref="B6:B7"/>
    <mergeCell ref="B8:B9"/>
    <mergeCell ref="B12:B13"/>
    <mergeCell ref="B14:B15"/>
    <mergeCell ref="B22:B23"/>
    <mergeCell ref="B24:B25"/>
    <mergeCell ref="B26:B27"/>
    <mergeCell ref="B28:B29"/>
    <mergeCell ref="B30:B3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8D939-5BF8-443A-B594-2D6F023E4F98}">
  <sheetPr codeName="Arkusz2"/>
  <dimension ref="B2:B4"/>
  <sheetViews>
    <sheetView workbookViewId="0">
      <selection activeCell="J10" sqref="J10"/>
    </sheetView>
  </sheetViews>
  <sheetFormatPr defaultRowHeight="14.4" x14ac:dyDescent="0.3"/>
  <cols>
    <col min="2" max="2" width="11.33203125" customWidth="1"/>
  </cols>
  <sheetData>
    <row r="2" spans="2:2" x14ac:dyDescent="0.3">
      <c r="B2" t="s">
        <v>10</v>
      </c>
    </row>
    <row r="3" spans="2:2" x14ac:dyDescent="0.3">
      <c r="B3" t="s">
        <v>11</v>
      </c>
    </row>
    <row r="4" spans="2:2" x14ac:dyDescent="0.3">
      <c r="B4" t="s">
        <v>12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Lista projektów</vt:lpstr>
      <vt:lpstr>Arkusz3</vt:lpstr>
      <vt:lpstr>Arkusz2</vt:lpstr>
      <vt:lpstr>Arkusz1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Brejnak Agnieszka</dc:creator>
  <cp:keywords/>
  <dc:description/>
  <cp:lastModifiedBy>Kacper Konopka</cp:lastModifiedBy>
  <cp:revision/>
  <dcterms:created xsi:type="dcterms:W3CDTF">2020-10-06T10:06:00Z</dcterms:created>
  <dcterms:modified xsi:type="dcterms:W3CDTF">2025-10-22T08:35:24Z</dcterms:modified>
  <cp:category/>
  <cp:contentStatus/>
</cp:coreProperties>
</file>